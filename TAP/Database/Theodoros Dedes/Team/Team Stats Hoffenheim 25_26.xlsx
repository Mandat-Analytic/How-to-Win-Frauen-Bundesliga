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mbatz Analisis\TAP\Database\Theodoros Dedes\Team\"/>
    </mc:Choice>
  </mc:AlternateContent>
  <xr:revisionPtr revIDLastSave="0" documentId="13_ncr:1_{56ADDDF1-A177-43A7-9010-CFB6F188F1E5}" xr6:coauthVersionLast="47" xr6:coauthVersionMax="47" xr10:uidLastSave="{00000000-0000-0000-0000-000000000000}"/>
  <bookViews>
    <workbookView xWindow="1950" yWindow="30" windowWidth="21570" windowHeight="12870" xr2:uid="{00000000-000D-0000-FFFF-FFFF00000000}"/>
  </bookViews>
  <sheets>
    <sheet name="Team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3" i="1" l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<sst xmlns="http://schemas.openxmlformats.org/spreadsheetml/2006/main" count="361" uniqueCount="140">
  <si>
    <t>Date</t>
  </si>
  <si>
    <t>Match</t>
  </si>
  <si>
    <t>Competition</t>
  </si>
  <si>
    <t>Duration</t>
  </si>
  <si>
    <t>Team</t>
  </si>
  <si>
    <t>Scheme</t>
  </si>
  <si>
    <t>Goals</t>
  </si>
  <si>
    <t>xG</t>
  </si>
  <si>
    <t>Shots / on target</t>
  </si>
  <si>
    <t/>
  </si>
  <si>
    <t>Passes / accurate</t>
  </si>
  <si>
    <t>Possession, %</t>
  </si>
  <si>
    <t>Losses / Low / Medium / High</t>
  </si>
  <si>
    <t>Recoveries / Low / Medium / High</t>
  </si>
  <si>
    <t>Duels / won</t>
  </si>
  <si>
    <t>Shots from outside penalty area / on target</t>
  </si>
  <si>
    <t>Positional attacks / with shots</t>
  </si>
  <si>
    <t>Counterattacks / with shots</t>
  </si>
  <si>
    <t>Set pieces / with shots</t>
  </si>
  <si>
    <t>Corners / with shots</t>
  </si>
  <si>
    <t>Free kicks / with shots</t>
  </si>
  <si>
    <t>Penalties / converted</t>
  </si>
  <si>
    <t>Crosses / accurate</t>
  </si>
  <si>
    <t>Deep completed crosses</t>
  </si>
  <si>
    <t>Deep completed passes</t>
  </si>
  <si>
    <t>Penalty area entries (runs / crosses)</t>
  </si>
  <si>
    <t>Touches in penalty area</t>
  </si>
  <si>
    <t>Offensive duels / won</t>
  </si>
  <si>
    <t>Offsides</t>
  </si>
  <si>
    <t>Conceded goals</t>
  </si>
  <si>
    <t>Shots against / on target</t>
  </si>
  <si>
    <t>Defensive duels / won</t>
  </si>
  <si>
    <t>Aerial duels / won</t>
  </si>
  <si>
    <t>Sliding tackles / successful</t>
  </si>
  <si>
    <t>Interceptions</t>
  </si>
  <si>
    <t>Clearances</t>
  </si>
  <si>
    <t>Fouls</t>
  </si>
  <si>
    <t>Yellow cards</t>
  </si>
  <si>
    <t>Red cards</t>
  </si>
  <si>
    <t>Forward passes / accurate</t>
  </si>
  <si>
    <t>Back passes / accurate</t>
  </si>
  <si>
    <t>Lateral passes / accurate</t>
  </si>
  <si>
    <t>Long passes / accurate</t>
  </si>
  <si>
    <t>Passes to final third / accurate</t>
  </si>
  <si>
    <t>Progressive passes / accurate</t>
  </si>
  <si>
    <t>Smart passes / accurate</t>
  </si>
  <si>
    <t>Throw ins / accurate</t>
  </si>
  <si>
    <t>Goal kicks</t>
  </si>
  <si>
    <t>Match tempo</t>
  </si>
  <si>
    <t>Average passes per possession</t>
  </si>
  <si>
    <t>Long pass %</t>
  </si>
  <si>
    <t>Average shot distance</t>
  </si>
  <si>
    <t>Average pass length</t>
  </si>
  <si>
    <t>PPDA</t>
  </si>
  <si>
    <t>Hoffenheim</t>
  </si>
  <si>
    <t>Opponents</t>
  </si>
  <si>
    <t>Germany. Frauen Bundesliga</t>
  </si>
  <si>
    <t>3-5-2 (100.0%)</t>
  </si>
  <si>
    <t>Nürnberg</t>
  </si>
  <si>
    <t>4-1-3-2 (100.0%)</t>
  </si>
  <si>
    <t>Werder Bremen</t>
  </si>
  <si>
    <t>4-4-2 (100.0%)</t>
  </si>
  <si>
    <t>2025-12-20</t>
  </si>
  <si>
    <t>Hoffenheim - Carl Zeiss Jena 5:1</t>
  </si>
  <si>
    <t>Carl Zeiss Jena</t>
  </si>
  <si>
    <t>3-4-3 (59.02%)</t>
  </si>
  <si>
    <t>2025-12-14</t>
  </si>
  <si>
    <t>RB Leipzig - Hoffenheim 2:3</t>
  </si>
  <si>
    <t>RB Leipzig</t>
  </si>
  <si>
    <t>2025-12-07</t>
  </si>
  <si>
    <t>Hoffenheim - Union Berlin 3:0</t>
  </si>
  <si>
    <t>Union Berlin</t>
  </si>
  <si>
    <t>2025-11-23</t>
  </si>
  <si>
    <t>Hoffenheim - Bayern München 1:5</t>
  </si>
  <si>
    <t>5-3-2 (46.03%)</t>
  </si>
  <si>
    <t>Bayern München</t>
  </si>
  <si>
    <t>4-2-3-1 (100.0%)</t>
  </si>
  <si>
    <t>2025-11-09</t>
  </si>
  <si>
    <t>Köln - Hoffenheim 1:0</t>
  </si>
  <si>
    <t>Köln</t>
  </si>
  <si>
    <t>2025-11-06</t>
  </si>
  <si>
    <t>Hoffenheim - Freiburg 2:1</t>
  </si>
  <si>
    <t>4-4-2 (74.2%)</t>
  </si>
  <si>
    <t>Freiburg</t>
  </si>
  <si>
    <t>2025-11-01</t>
  </si>
  <si>
    <t>Wolfsburg - Hoffenheim 2:1</t>
  </si>
  <si>
    <t>4-2-3-1 (16.58%)</t>
  </si>
  <si>
    <t>Wolfsburg</t>
  </si>
  <si>
    <t>2025-10-17</t>
  </si>
  <si>
    <t>SGS Essen - Hoffenheim 0:1</t>
  </si>
  <si>
    <t>SGS Essen</t>
  </si>
  <si>
    <t>2025-10-12</t>
  </si>
  <si>
    <t>Hoffenheim - Bayer Leverkusen 0:2</t>
  </si>
  <si>
    <t>4-4-2 (62.69%)</t>
  </si>
  <si>
    <t>Bayer Leverkusen</t>
  </si>
  <si>
    <t>4-4-2 (90.52%)</t>
  </si>
  <si>
    <t>2025-10-06</t>
  </si>
  <si>
    <t>Hamburger SV - Hoffenheim 1:4</t>
  </si>
  <si>
    <t>Hamburger SV</t>
  </si>
  <si>
    <t>5-3-2 (100.0%)</t>
  </si>
  <si>
    <t>2025-09-24</t>
  </si>
  <si>
    <t>Hoffenheim - Nürnberg 1:1</t>
  </si>
  <si>
    <t>5-4-1 (100.0%)</t>
  </si>
  <si>
    <t>2025-09-21</t>
  </si>
  <si>
    <t>Werder Bremen - Hoffenheim 2:1</t>
  </si>
  <si>
    <t>2025-09-14</t>
  </si>
  <si>
    <t>Hoffenheim - Eintracht Frankfurt 3:0</t>
  </si>
  <si>
    <t>Eintracht Frankfurt</t>
  </si>
  <si>
    <t>2025-09-08</t>
  </si>
  <si>
    <t>Carl Zeiss Jena - Hoffenheim 1:4</t>
  </si>
  <si>
    <t>3-4-3 (100.0%)</t>
  </si>
  <si>
    <t>Hoffenheim - SGS Essen 1:0</t>
  </si>
  <si>
    <t>2024-12-15</t>
  </si>
  <si>
    <t>4-4-2 (65.91%)</t>
  </si>
  <si>
    <t>4-1-4-1 (100.0%)</t>
  </si>
  <si>
    <t>Carl Zeiss Jena - Hoffenheim 0:3</t>
  </si>
  <si>
    <t>2025-01-26</t>
  </si>
  <si>
    <t>Freiburg - Hoffenheim 0:3</t>
  </si>
  <si>
    <t>2025-02-02</t>
  </si>
  <si>
    <t>Hoffenheim - Bayern München 1:3</t>
  </si>
  <si>
    <t>2025-02-09</t>
  </si>
  <si>
    <t>Werder Bremen - Hoffenheim 1:0</t>
  </si>
  <si>
    <t>2025-03-10</t>
  </si>
  <si>
    <t>4-3-1-2 (32.79%)</t>
  </si>
  <si>
    <t>Hoffenheim - Köln 5:1</t>
  </si>
  <si>
    <t>2025-03-15</t>
  </si>
  <si>
    <t>4-2-3-1 (64.24%)</t>
  </si>
  <si>
    <t>3-5-2 (49.13%)</t>
  </si>
  <si>
    <t>Turbine Potsdam</t>
  </si>
  <si>
    <t>Turbine Potsdam - Hoffenheim 0:7</t>
  </si>
  <si>
    <t>2025-03-29</t>
  </si>
  <si>
    <t>3-4-2-1 (87.72%)</t>
  </si>
  <si>
    <t>Hoffenheim - RB Leipzig 5:2</t>
  </si>
  <si>
    <t>2025-04-13</t>
  </si>
  <si>
    <t>2025-04-28</t>
  </si>
  <si>
    <t>4-3-3 (63.88%)</t>
  </si>
  <si>
    <t>Eintracht Frankfurt - Hoffenheim 3:1</t>
  </si>
  <si>
    <t>2025-05-04</t>
  </si>
  <si>
    <t>Hoffenheim - Carl Zeiss Jena 4:0</t>
  </si>
  <si>
    <t>2025-05-11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</si>
</sst>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3"/>
  <sheetViews>
    <sheetView tabSelected="1" showOutlineSymbols="0" showWhiteSpace="0" topLeftCell="A12" workbookViewId="0">
      <selection activeCell="B34" sqref="B34:B35"/>
    </sheetView>
  </sheetViews>
  <sheetFormatPr defaultRowHeight="14.25" x14ac:dyDescent="0.2"/>
  <cols>
    <col min="1" max="1" width="11.875" bestFit="1" customWidth="1"/>
    <col min="2" max="2" width="29.5" bestFit="1" customWidth="1"/>
    <col min="3" max="3" width="20.75" bestFit="1" customWidth="1"/>
    <col min="4" max="4" width="7.5" bestFit="1" customWidth="1"/>
    <col min="5" max="5" width="15.25" bestFit="1" customWidth="1"/>
    <col min="6" max="6" width="14.125" bestFit="1" customWidth="1"/>
    <col min="7" max="7" width="5.25" bestFit="1" customWidth="1"/>
    <col min="8" max="8" width="6.375" bestFit="1" customWidth="1"/>
    <col min="9" max="9" width="15.25" bestFit="1" customWidth="1"/>
    <col min="10" max="10" width="6.375" bestFit="1" customWidth="1"/>
    <col min="11" max="11" width="7.5" bestFit="1" customWidth="1"/>
    <col min="12" max="12" width="10.75" bestFit="1" customWidth="1"/>
    <col min="13" max="14" width="7.5" bestFit="1" customWidth="1"/>
    <col min="15" max="15" width="11.875" bestFit="1" customWidth="1"/>
    <col min="16" max="16" width="26.25" bestFit="1" customWidth="1"/>
    <col min="17" max="19" width="6.375" bestFit="1" customWidth="1"/>
    <col min="20" max="20" width="30.625" bestFit="1" customWidth="1"/>
    <col min="21" max="23" width="6.375" bestFit="1" customWidth="1"/>
    <col min="24" max="24" width="13" bestFit="1" customWidth="1"/>
    <col min="25" max="26" width="7.5" bestFit="1" customWidth="1"/>
    <col min="27" max="27" width="31.75" bestFit="1" customWidth="1"/>
    <col min="28" max="28" width="5.25" bestFit="1" customWidth="1"/>
    <col min="29" max="29" width="7.5" bestFit="1" customWidth="1"/>
    <col min="30" max="30" width="17.375" bestFit="1" customWidth="1"/>
    <col min="31" max="31" width="5.25" bestFit="1" customWidth="1"/>
    <col min="32" max="32" width="7.5" bestFit="1" customWidth="1"/>
    <col min="33" max="33" width="17.375" bestFit="1" customWidth="1"/>
    <col min="34" max="34" width="4.25" bestFit="1" customWidth="1"/>
    <col min="35" max="35" width="7.5" bestFit="1" customWidth="1"/>
    <col min="36" max="36" width="18.5" bestFit="1" customWidth="1"/>
    <col min="37" max="37" width="4.25" bestFit="1" customWidth="1"/>
    <col min="38" max="38" width="7.5" bestFit="1" customWidth="1"/>
    <col min="39" max="39" width="16.25" bestFit="1" customWidth="1"/>
    <col min="40" max="40" width="5.25" bestFit="1" customWidth="1"/>
    <col min="41" max="41" width="7.5" bestFit="1" customWidth="1"/>
    <col min="42" max="42" width="15.25" bestFit="1" customWidth="1"/>
    <col min="43" max="43" width="5.25" bestFit="1" customWidth="1"/>
    <col min="44" max="44" width="7.5" bestFit="1" customWidth="1"/>
    <col min="45" max="45" width="17.375" bestFit="1" customWidth="1"/>
    <col min="46" max="46" width="5.25" bestFit="1" customWidth="1"/>
    <col min="47" max="47" width="7.5" bestFit="1" customWidth="1"/>
    <col min="48" max="48" width="11.875" bestFit="1" customWidth="1"/>
    <col min="49" max="49" width="6.375" bestFit="1" customWidth="1"/>
    <col min="50" max="50" width="7.5" bestFit="1" customWidth="1"/>
    <col min="51" max="52" width="18.5" bestFit="1" customWidth="1"/>
    <col min="53" max="53" width="22.875" bestFit="1" customWidth="1"/>
    <col min="54" max="55" width="6.375" bestFit="1" customWidth="1"/>
    <col min="56" max="56" width="18.5" bestFit="1" customWidth="1"/>
    <col min="57" max="57" width="19.625" bestFit="1" customWidth="1"/>
    <col min="58" max="58" width="6.375" bestFit="1" customWidth="1"/>
    <col min="59" max="59" width="7.5" bestFit="1" customWidth="1"/>
    <col min="60" max="60" width="6.375" bestFit="1" customWidth="1"/>
    <col min="61" max="61" width="14.125" bestFit="1" customWidth="1"/>
    <col min="62" max="62" width="18.5" bestFit="1" customWidth="1"/>
    <col min="63" max="63" width="6.375" bestFit="1" customWidth="1"/>
    <col min="64" max="64" width="7.5" bestFit="1" customWidth="1"/>
    <col min="65" max="65" width="20.75" bestFit="1" customWidth="1"/>
    <col min="66" max="66" width="6.375" bestFit="1" customWidth="1"/>
    <col min="67" max="67" width="7.5" bestFit="1" customWidth="1"/>
    <col min="68" max="68" width="16.25" bestFit="1" customWidth="1"/>
    <col min="69" max="69" width="6.375" bestFit="1" customWidth="1"/>
    <col min="70" max="70" width="7.5" bestFit="1" customWidth="1"/>
    <col min="71" max="71" width="16.25" bestFit="1" customWidth="1"/>
    <col min="72" max="72" width="5.25" bestFit="1" customWidth="1"/>
    <col min="73" max="73" width="7.5" bestFit="1" customWidth="1"/>
    <col min="74" max="74" width="9.75" bestFit="1" customWidth="1"/>
    <col min="75" max="75" width="7.5" bestFit="1" customWidth="1"/>
    <col min="76" max="76" width="6.375" bestFit="1" customWidth="1"/>
    <col min="77" max="77" width="9.75" bestFit="1" customWidth="1"/>
    <col min="78" max="78" width="8.625" bestFit="1" customWidth="1"/>
    <col min="79" max="79" width="15.25" bestFit="1" customWidth="1"/>
    <col min="80" max="81" width="7.5" bestFit="1" customWidth="1"/>
    <col min="82" max="82" width="13" bestFit="1" customWidth="1"/>
    <col min="83" max="84" width="7.5" bestFit="1" customWidth="1"/>
    <col min="85" max="85" width="13" bestFit="1" customWidth="1"/>
    <col min="86" max="87" width="7.5" bestFit="1" customWidth="1"/>
    <col min="88" max="88" width="15.25" bestFit="1" customWidth="1"/>
    <col min="89" max="89" width="6.375" bestFit="1" customWidth="1"/>
    <col min="90" max="90" width="7.5" bestFit="1" customWidth="1"/>
    <col min="91" max="91" width="18.5" bestFit="1" customWidth="1"/>
    <col min="92" max="92" width="6.375" bestFit="1" customWidth="1"/>
    <col min="93" max="93" width="7.5" bestFit="1" customWidth="1"/>
    <col min="94" max="94" width="18.5" bestFit="1" customWidth="1"/>
    <col min="95" max="95" width="6.375" bestFit="1" customWidth="1"/>
    <col min="96" max="96" width="7.5" bestFit="1" customWidth="1"/>
    <col min="97" max="97" width="14.125" bestFit="1" customWidth="1"/>
    <col min="98" max="98" width="5.25" bestFit="1" customWidth="1"/>
    <col min="99" max="99" width="7.5" bestFit="1" customWidth="1"/>
    <col min="100" max="100" width="15.25" bestFit="1" customWidth="1"/>
    <col min="101" max="101" width="6.375" bestFit="1" customWidth="1"/>
    <col min="102" max="102" width="7.5" bestFit="1" customWidth="1"/>
    <col min="103" max="103" width="6.375" bestFit="1" customWidth="1"/>
    <col min="104" max="104" width="10.75" bestFit="1" customWidth="1"/>
    <col min="105" max="105" width="21.75" bestFit="1" customWidth="1"/>
    <col min="106" max="106" width="10.75" bestFit="1" customWidth="1"/>
    <col min="107" max="108" width="16.25" bestFit="1" customWidth="1"/>
    <col min="109" max="109" width="7.5" bestFit="1" customWidth="1"/>
  </cols>
  <sheetData>
    <row r="1" spans="1:109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t="s">
        <v>11</v>
      </c>
      <c r="P1" s="2" t="s">
        <v>12</v>
      </c>
      <c r="Q1" s="2" t="s">
        <v>9</v>
      </c>
      <c r="R1" s="2" t="s">
        <v>9</v>
      </c>
      <c r="S1" s="2" t="s">
        <v>9</v>
      </c>
      <c r="T1" s="2" t="s">
        <v>13</v>
      </c>
      <c r="U1" s="2" t="s">
        <v>9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  <c r="AA1" s="2" t="s">
        <v>15</v>
      </c>
      <c r="AB1" s="2" t="s">
        <v>9</v>
      </c>
      <c r="AC1" s="2" t="s">
        <v>9</v>
      </c>
      <c r="AD1" s="2" t="s">
        <v>16</v>
      </c>
      <c r="AE1" s="2" t="s">
        <v>9</v>
      </c>
      <c r="AF1" s="2" t="s">
        <v>9</v>
      </c>
      <c r="AG1" s="2" t="s">
        <v>17</v>
      </c>
      <c r="AH1" s="2" t="s">
        <v>9</v>
      </c>
      <c r="AI1" s="2" t="s">
        <v>9</v>
      </c>
      <c r="AJ1" s="2" t="s">
        <v>18</v>
      </c>
      <c r="AK1" s="2" t="s">
        <v>9</v>
      </c>
      <c r="AL1" s="2" t="s">
        <v>9</v>
      </c>
      <c r="AM1" s="2" t="s">
        <v>19</v>
      </c>
      <c r="AN1" s="2" t="s">
        <v>9</v>
      </c>
      <c r="AO1" s="2" t="s">
        <v>9</v>
      </c>
      <c r="AP1" s="2" t="s">
        <v>20</v>
      </c>
      <c r="AQ1" s="2" t="s">
        <v>9</v>
      </c>
      <c r="AR1" s="2" t="s">
        <v>9</v>
      </c>
      <c r="AS1" s="2" t="s">
        <v>21</v>
      </c>
      <c r="AT1" s="2" t="s">
        <v>9</v>
      </c>
      <c r="AU1" s="2" t="s">
        <v>9</v>
      </c>
      <c r="AV1" s="2" t="s">
        <v>22</v>
      </c>
      <c r="AW1" s="2" t="s">
        <v>9</v>
      </c>
      <c r="AX1" s="2" t="s">
        <v>9</v>
      </c>
      <c r="AY1" t="s">
        <v>23</v>
      </c>
      <c r="AZ1" t="s">
        <v>24</v>
      </c>
      <c r="BA1" s="2" t="s">
        <v>25</v>
      </c>
      <c r="BB1" s="2" t="s">
        <v>9</v>
      </c>
      <c r="BC1" s="2" t="s">
        <v>9</v>
      </c>
      <c r="BD1" t="s">
        <v>26</v>
      </c>
      <c r="BE1" s="2" t="s">
        <v>27</v>
      </c>
      <c r="BF1" s="2" t="s">
        <v>9</v>
      </c>
      <c r="BG1" s="2" t="s">
        <v>9</v>
      </c>
      <c r="BH1" t="s">
        <v>28</v>
      </c>
      <c r="BI1" t="s">
        <v>29</v>
      </c>
      <c r="BJ1" s="2" t="s">
        <v>30</v>
      </c>
      <c r="BK1" s="2" t="s">
        <v>9</v>
      </c>
      <c r="BL1" s="2" t="s">
        <v>9</v>
      </c>
      <c r="BM1" s="2" t="s">
        <v>31</v>
      </c>
      <c r="BN1" s="2" t="s">
        <v>9</v>
      </c>
      <c r="BO1" s="2" t="s">
        <v>9</v>
      </c>
      <c r="BP1" s="2" t="s">
        <v>32</v>
      </c>
      <c r="BQ1" s="2" t="s">
        <v>9</v>
      </c>
      <c r="BR1" s="2" t="s">
        <v>9</v>
      </c>
      <c r="BS1" s="2" t="s">
        <v>33</v>
      </c>
      <c r="BT1" s="2" t="s">
        <v>9</v>
      </c>
      <c r="BU1" s="2" t="s">
        <v>9</v>
      </c>
      <c r="BV1" t="s">
        <v>34</v>
      </c>
      <c r="BW1" t="s">
        <v>35</v>
      </c>
      <c r="BX1" t="s">
        <v>36</v>
      </c>
      <c r="BY1" t="s">
        <v>37</v>
      </c>
      <c r="BZ1" t="s">
        <v>38</v>
      </c>
      <c r="CA1" s="2" t="s">
        <v>39</v>
      </c>
      <c r="CB1" s="2" t="s">
        <v>9</v>
      </c>
      <c r="CC1" s="2" t="s">
        <v>9</v>
      </c>
      <c r="CD1" s="2" t="s">
        <v>40</v>
      </c>
      <c r="CE1" s="2" t="s">
        <v>9</v>
      </c>
      <c r="CF1" s="2" t="s">
        <v>9</v>
      </c>
      <c r="CG1" s="2" t="s">
        <v>41</v>
      </c>
      <c r="CH1" s="2" t="s">
        <v>9</v>
      </c>
      <c r="CI1" s="2" t="s">
        <v>9</v>
      </c>
      <c r="CJ1" s="2" t="s">
        <v>42</v>
      </c>
      <c r="CK1" s="2" t="s">
        <v>9</v>
      </c>
      <c r="CL1" s="2" t="s">
        <v>9</v>
      </c>
      <c r="CM1" s="2" t="s">
        <v>43</v>
      </c>
      <c r="CN1" s="2" t="s">
        <v>9</v>
      </c>
      <c r="CO1" s="2" t="s">
        <v>9</v>
      </c>
      <c r="CP1" s="2" t="s">
        <v>44</v>
      </c>
      <c r="CQ1" s="2" t="s">
        <v>9</v>
      </c>
      <c r="CR1" s="2" t="s">
        <v>9</v>
      </c>
      <c r="CS1" s="2" t="s">
        <v>45</v>
      </c>
      <c r="CT1" s="2" t="s">
        <v>9</v>
      </c>
      <c r="CU1" s="2" t="s">
        <v>9</v>
      </c>
      <c r="CV1" s="2" t="s">
        <v>46</v>
      </c>
      <c r="CW1" s="2" t="s">
        <v>9</v>
      </c>
      <c r="CX1" s="2" t="s">
        <v>9</v>
      </c>
      <c r="CY1" t="s">
        <v>47</v>
      </c>
      <c r="CZ1" t="s">
        <v>48</v>
      </c>
      <c r="DA1" t="s">
        <v>49</v>
      </c>
      <c r="DB1" t="s">
        <v>50</v>
      </c>
      <c r="DC1" t="s">
        <v>51</v>
      </c>
      <c r="DD1" t="s">
        <v>52</v>
      </c>
      <c r="DE1" t="s">
        <v>53</v>
      </c>
    </row>
    <row r="2" spans="1:109" x14ac:dyDescent="0.2">
      <c r="A2" s="1" t="s">
        <v>54</v>
      </c>
      <c r="B2" s="1"/>
      <c r="C2" s="1"/>
      <c r="D2" s="1"/>
      <c r="E2" s="1"/>
      <c r="F2" s="1"/>
      <c r="G2" s="1" t="e">
        <f>AVERAGE(#REF!,#REF!,G4,G6,G8,G10,G12,G14,G16,G18,G20,G22,G24,G26,G28,G30)</f>
        <v>#REF!</v>
      </c>
      <c r="H2" s="1" t="e">
        <f>AVERAGE(#REF!,#REF!,H4,H6,H8,H10,H12,H14,H16,H18,H20,H22,H24,H26,H28,H30)</f>
        <v>#REF!</v>
      </c>
      <c r="I2" s="1" t="e">
        <f>AVERAGE(#REF!,#REF!,I4,I6,I8,I10,I12,I14,I16,I18,I20,I22,I24,I26,I28,I30)</f>
        <v>#REF!</v>
      </c>
      <c r="J2" s="1" t="e">
        <f>AVERAGE(#REF!,#REF!,J4,J6,J8,J10,J12,J14,J16,J18,J20,J22,J24,J26,J28,J30)</f>
        <v>#REF!</v>
      </c>
      <c r="K2" s="1">
        <f>IFERROR(SUM(#REF!,#REF!,J4,J6,J8,J10,J12,J14,J16,J18,J20,J22,J24,J26,J28,J30)/SUM(#REF!,#REF!,I4,I6,I8,I10,I12,I14,I16,I18,I20,I22,I24,I26,I28,I30)*100,0)</f>
        <v>0</v>
      </c>
      <c r="L2" s="1" t="e">
        <f>AVERAGE(#REF!,#REF!,L4,L6,L8,L10,L12,L14,L16,L18,L20,L22,L24,L26,L28,L30)</f>
        <v>#REF!</v>
      </c>
      <c r="M2" s="1" t="e">
        <f>AVERAGE(#REF!,#REF!,M4,M6,M8,M10,M12,M14,M16,M18,M20,M22,M24,M26,M28,M30)</f>
        <v>#REF!</v>
      </c>
      <c r="N2" s="1">
        <f>IFERROR(SUM(#REF!,#REF!,M4,M6,M8,M10,M12,M14,M16,M18,M20,M22,M24,M26,M28,M30)/SUM(#REF!,#REF!,L4,L6,L8,L10,L12,L14,L16,L18,L20,L22,L24,L26,L28,L30)*100,0)</f>
        <v>0</v>
      </c>
      <c r="O2" s="1" t="e">
        <f>AVERAGE(#REF!,#REF!,O4,O6,O8,O10,O12,O14,O16,O18,O20,O22,O24,O26,O28,O30)</f>
        <v>#REF!</v>
      </c>
      <c r="P2" s="1" t="e">
        <f>AVERAGE(#REF!,#REF!,P4,P6,P8,P10,P12,P14,P16,P18,P20,P22,P24,P26,P28,P30)</f>
        <v>#REF!</v>
      </c>
      <c r="Q2" s="1" t="e">
        <f>AVERAGE(#REF!,#REF!,Q4,Q6,Q8,Q10,Q12,Q14,Q16,Q18,Q20,Q22,Q24,Q26,Q28,Q30)</f>
        <v>#REF!</v>
      </c>
      <c r="R2" s="1" t="e">
        <f>AVERAGE(#REF!,#REF!,R4,R6,R8,R10,R12,R14,R16,R18,R20,R22,R24,R26,R28,R30)</f>
        <v>#REF!</v>
      </c>
      <c r="S2" s="1" t="e">
        <f>AVERAGE(#REF!,#REF!,S4,S6,S8,S10,S12,S14,S16,S18,S20,S22,S24,S26,S28,S30)</f>
        <v>#REF!</v>
      </c>
      <c r="T2" s="1" t="e">
        <f>AVERAGE(#REF!,#REF!,T4,T6,T8,T10,T12,T14,T16,T18,T20,T22,T24,T26,T28,T30)</f>
        <v>#REF!</v>
      </c>
      <c r="U2" s="1" t="e">
        <f>AVERAGE(#REF!,#REF!,U4,U6,U8,U10,U12,U14,U16,U18,U20,U22,U24,U26,U28,U30)</f>
        <v>#REF!</v>
      </c>
      <c r="V2" s="1" t="e">
        <f>AVERAGE(#REF!,#REF!,V4,V6,V8,V10,V12,V14,V16,V18,V20,V22,V24,V26,V28,V30)</f>
        <v>#REF!</v>
      </c>
      <c r="W2" s="1" t="e">
        <f>AVERAGE(#REF!,#REF!,W4,W6,W8,W10,W12,W14,W16,W18,W20,W22,W24,W26,W28,W30)</f>
        <v>#REF!</v>
      </c>
      <c r="X2" s="1" t="e">
        <f>AVERAGE(#REF!,#REF!,X4,X6,X8,X10,X12,X14,X16,X18,X20,X22,X24,X26,X28,X30)</f>
        <v>#REF!</v>
      </c>
      <c r="Y2" s="1" t="e">
        <f>AVERAGE(#REF!,#REF!,Y4,Y6,Y8,Y10,Y12,Y14,Y16,Y18,Y20,Y22,Y24,Y26,Y28,Y30)</f>
        <v>#REF!</v>
      </c>
      <c r="Z2" s="1">
        <f>IFERROR(SUM(#REF!,#REF!,Y4,Y6,Y8,Y10,Y12,Y14,Y16,Y18,Y20,Y22,Y24,Y26,Y28,Y30)/SUM(#REF!,#REF!,X4,X6,X8,X10,X12,X14,X16,X18,X20,X22,X24,X26,X28,X30)*100,0)</f>
        <v>0</v>
      </c>
      <c r="AA2" s="1" t="e">
        <f>AVERAGE(#REF!,#REF!,AA4,AA6,AA8,AA10,AA12,AA14,AA16,AA18,AA20,AA22,AA24,AA26,AA28,AA30)</f>
        <v>#REF!</v>
      </c>
      <c r="AB2" s="1" t="e">
        <f>AVERAGE(#REF!,#REF!,AB4,AB6,AB8,AB10,AB12,AB14,AB16,AB18,AB20,AB22,AB24,AB26,AB28,AB30)</f>
        <v>#REF!</v>
      </c>
      <c r="AC2" s="1">
        <f>IFERROR(SUM(#REF!,#REF!,AB4,AB6,AB8,AB10,AB12,AB14,AB16,AB18,AB20,AB22,AB24,AB26,AB28,AB30)/SUM(#REF!,#REF!,AA4,AA6,AA8,AA10,AA12,AA14,AA16,AA18,AA20,AA22,AA24,AA26,AA28,AA30)*100,0)</f>
        <v>0</v>
      </c>
      <c r="AD2" s="1" t="e">
        <f>AVERAGE(#REF!,#REF!,AD4,AD6,AD8,AD10,AD12,AD14,AD16,AD18,AD20,AD22,AD24,AD26,AD28,AD30)</f>
        <v>#REF!</v>
      </c>
      <c r="AE2" s="1" t="e">
        <f>AVERAGE(#REF!,#REF!,AE4,AE6,AE8,AE10,AE12,AE14,AE16,AE18,AE20,AE22,AE24,AE26,AE28,AE30)</f>
        <v>#REF!</v>
      </c>
      <c r="AF2" s="1">
        <f>IFERROR(SUM(#REF!,#REF!,AE4,AE6,AE8,AE10,AE12,AE14,AE16,AE18,AE20,AE22,AE24,AE26,AE28,AE30)/SUM(#REF!,#REF!,AD4,AD6,AD8,AD10,AD12,AD14,AD16,AD18,AD20,AD22,AD24,AD26,AD28,AD30)*100,0)</f>
        <v>0</v>
      </c>
      <c r="AG2" s="1" t="e">
        <f>AVERAGE(#REF!,#REF!,AG4,AG6,AG8,AG10,AG12,AG14,AG16,AG18,AG20,AG22,AG24,AG26,AG28,AG30)</f>
        <v>#REF!</v>
      </c>
      <c r="AH2" s="1" t="e">
        <f>AVERAGE(#REF!,#REF!,AH4,AH6,AH8,AH10,AH12,AH14,AH16,AH18,AH20,AH22,AH24,AH26,AH28,AH30)</f>
        <v>#REF!</v>
      </c>
      <c r="AI2" s="1">
        <f>IFERROR(SUM(#REF!,#REF!,AH4,AH6,AH8,AH10,AH12,AH14,AH16,AH18,AH20,AH22,AH24,AH26,AH28,AH30)/SUM(#REF!,#REF!,AG4,AG6,AG8,AG10,AG12,AG14,AG16,AG18,AG20,AG22,AG24,AG26,AG28,AG30)*100,0)</f>
        <v>0</v>
      </c>
      <c r="AJ2" s="1" t="e">
        <f>AVERAGE(#REF!,#REF!,AJ4,AJ6,AJ8,AJ10,AJ12,AJ14,AJ16,AJ18,AJ20,AJ22,AJ24,AJ26,AJ28,AJ30)</f>
        <v>#REF!</v>
      </c>
      <c r="AK2" s="1" t="e">
        <f>AVERAGE(#REF!,#REF!,AK4,AK6,AK8,AK10,AK12,AK14,AK16,AK18,AK20,AK22,AK24,AK26,AK28,AK30)</f>
        <v>#REF!</v>
      </c>
      <c r="AL2" s="1">
        <f>IFERROR(SUM(#REF!,#REF!,AK4,AK6,AK8,AK10,AK12,AK14,AK16,AK18,AK20,AK22,AK24,AK26,AK28,AK30)/SUM(#REF!,#REF!,AJ4,AJ6,AJ8,AJ10,AJ12,AJ14,AJ16,AJ18,AJ20,AJ22,AJ24,AJ26,AJ28,AJ30)*100,0)</f>
        <v>0</v>
      </c>
      <c r="AM2" s="1" t="e">
        <f>AVERAGE(#REF!,#REF!,AM4,AM6,AM8,AM10,AM12,AM14,AM16,AM18,AM20,AM22,AM24,AM26,AM28,AM30)</f>
        <v>#REF!</v>
      </c>
      <c r="AN2" s="1" t="e">
        <f>AVERAGE(#REF!,#REF!,AN4,AN6,AN8,AN10,AN12,AN14,AN16,AN18,AN20,AN22,AN24,AN26,AN28,AN30)</f>
        <v>#REF!</v>
      </c>
      <c r="AO2" s="1">
        <f>IFERROR(SUM(#REF!,#REF!,AN4,AN6,AN8,AN10,AN12,AN14,AN16,AN18,AN20,AN22,AN24,AN26,AN28,AN30)/SUM(#REF!,#REF!,AM4,AM6,AM8,AM10,AM12,AM14,AM16,AM18,AM20,AM22,AM24,AM26,AM28,AM30)*100,0)</f>
        <v>0</v>
      </c>
      <c r="AP2" s="1" t="e">
        <f>AVERAGE(#REF!,#REF!,AP4,AP6,AP8,AP10,AP12,AP14,AP16,AP18,AP20,AP22,AP24,AP26,AP28,AP30)</f>
        <v>#REF!</v>
      </c>
      <c r="AQ2" s="1" t="e">
        <f>AVERAGE(#REF!,#REF!,AQ4,AQ6,AQ8,AQ10,AQ12,AQ14,AQ16,AQ18,AQ20,AQ22,AQ24,AQ26,AQ28,AQ30)</f>
        <v>#REF!</v>
      </c>
      <c r="AR2" s="1">
        <f>IFERROR(SUM(#REF!,#REF!,AQ4,AQ6,AQ8,AQ10,AQ12,AQ14,AQ16,AQ18,AQ20,AQ22,AQ24,AQ26,AQ28,AQ30)/SUM(#REF!,#REF!,AP4,AP6,AP8,AP10,AP12,AP14,AP16,AP18,AP20,AP22,AP24,AP26,AP28,AP30)*100,0)</f>
        <v>0</v>
      </c>
      <c r="AS2" s="1" t="e">
        <f>AVERAGE(#REF!,#REF!,AS4,AS6,AS8,AS10,AS12,AS14,AS16,AS18,AS20,AS22,AS24,AS26,AS28,AS30)</f>
        <v>#REF!</v>
      </c>
      <c r="AT2" s="1" t="e">
        <f>AVERAGE(#REF!,#REF!,AT4,AT6,AT8,AT10,AT12,AT14,AT16,AT18,AT20,AT22,AT24,AT26,AT28,AT30)</f>
        <v>#REF!</v>
      </c>
      <c r="AU2" s="1">
        <f>IFERROR(SUM(#REF!,#REF!,AT4,AT6,AT8,AT10,AT12,AT14,AT16,AT18,AT20,AT22,AT24,AT26,AT28,AT30)/SUM(#REF!,#REF!,AS4,AS6,AS8,AS10,AS12,AS14,AS16,AS18,AS20,AS22,AS24,AS26,AS28,AS30)*100,0)</f>
        <v>0</v>
      </c>
      <c r="AV2" s="1" t="e">
        <f>AVERAGE(#REF!,#REF!,AV4,AV6,AV8,AV10,AV12,AV14,AV16,AV18,AV20,AV22,AV24,AV26,AV28,AV30)</f>
        <v>#REF!</v>
      </c>
      <c r="AW2" s="1" t="e">
        <f>AVERAGE(#REF!,#REF!,AW4,AW6,AW8,AW10,AW12,AW14,AW16,AW18,AW20,AW22,AW24,AW26,AW28,AW30)</f>
        <v>#REF!</v>
      </c>
      <c r="AX2" s="1">
        <f>IFERROR(SUM(#REF!,#REF!,AW4,AW6,AW8,AW10,AW12,AW14,AW16,AW18,AW20,AW22,AW24,AW26,AW28,AW30)/SUM(#REF!,#REF!,AV4,AV6,AV8,AV10,AV12,AV14,AV16,AV18,AV20,AV22,AV24,AV26,AV28,AV30)*100,0)</f>
        <v>0</v>
      </c>
      <c r="AY2" s="1" t="e">
        <f>AVERAGE(#REF!,#REF!,AY4,AY6,AY8,AY10,AY12,AY14,AY16,AY18,AY20,AY22,AY24,AY26,AY28,AY30)</f>
        <v>#REF!</v>
      </c>
      <c r="AZ2" s="1" t="e">
        <f>AVERAGE(#REF!,#REF!,AZ4,AZ6,AZ8,AZ10,AZ12,AZ14,AZ16,AZ18,AZ20,AZ22,AZ24,AZ26,AZ28,AZ30)</f>
        <v>#REF!</v>
      </c>
      <c r="BA2" s="1" t="e">
        <f>AVERAGE(#REF!,#REF!,BA4,BA6,BA8,BA10,BA12,BA14,BA16,BA18,BA20,BA22,BA24,BA26,BA28,BA30)</f>
        <v>#REF!</v>
      </c>
      <c r="BB2" s="1" t="e">
        <f>AVERAGE(#REF!,#REF!,BB4,BB6,BB8,BB10,BB12,BB14,BB16,BB18,BB20,BB22,BB24,BB26,BB28,BB30)</f>
        <v>#REF!</v>
      </c>
      <c r="BC2" s="1" t="e">
        <f>AVERAGE(#REF!,#REF!,BC4,BC6,BC8,BC10,BC12,BC14,BC16,BC18,BC20,BC22,BC24,BC26,BC28,BC30)</f>
        <v>#REF!</v>
      </c>
      <c r="BD2" s="1" t="e">
        <f>AVERAGE(#REF!,#REF!,BD4,BD6,BD8,BD10,BD12,BD14,BD16,BD18,BD20,BD22,BD24,BD26,BD28,BD30)</f>
        <v>#REF!</v>
      </c>
      <c r="BE2" s="1" t="e">
        <f>AVERAGE(#REF!,#REF!,BE4,BE6,BE8,BE10,BE12,BE14,BE16,BE18,BE20,BE22,BE24,BE26,BE28,BE30)</f>
        <v>#REF!</v>
      </c>
      <c r="BF2" s="1" t="e">
        <f>AVERAGE(#REF!,#REF!,BF4,BF6,BF8,BF10,BF12,BF14,BF16,BF18,BF20,BF22,BF24,BF26,BF28,BF30)</f>
        <v>#REF!</v>
      </c>
      <c r="BG2" s="1">
        <f>IFERROR(SUM(#REF!,#REF!,BF4,BF6,BF8,BF10,BF12,BF14,BF16,BF18,BF20,BF22,BF24,BF26,BF28,BF30)/SUM(#REF!,#REF!,BE4,BE6,BE8,BE10,BE12,BE14,BE16,BE18,BE20,BE22,BE24,BE26,BE28,BE30)*100,0)</f>
        <v>0</v>
      </c>
      <c r="BH2" s="1" t="e">
        <f>AVERAGE(#REF!,#REF!,BH4,BH6,BH8,BH10,BH12,BH14,BH16,BH18,BH20,BH22,BH24,BH26,BH28,BH30)</f>
        <v>#REF!</v>
      </c>
      <c r="BI2" s="1" t="e">
        <f>AVERAGE(#REF!,#REF!,BI4,BI6,BI8,BI10,BI12,BI14,BI16,BI18,BI20,BI22,BI24,BI26,BI28,BI30)</f>
        <v>#REF!</v>
      </c>
      <c r="BJ2" s="1" t="e">
        <f>AVERAGE(#REF!,#REF!,BJ4,BJ6,BJ8,BJ10,BJ12,BJ14,BJ16,BJ18,BJ20,BJ22,BJ24,BJ26,BJ28,BJ30)</f>
        <v>#REF!</v>
      </c>
      <c r="BK2" s="1" t="e">
        <f>AVERAGE(#REF!,#REF!,BK4,BK6,BK8,BK10,BK12,BK14,BK16,BK18,BK20,BK22,BK24,BK26,BK28,BK30)</f>
        <v>#REF!</v>
      </c>
      <c r="BL2" s="1">
        <f>IFERROR(SUM(#REF!,#REF!,BK4,BK6,BK8,BK10,BK12,BK14,BK16,BK18,BK20,BK22,BK24,BK26,BK28,BK30)/SUM(#REF!,#REF!,BJ4,BJ6,BJ8,BJ10,BJ12,BJ14,BJ16,BJ18,BJ20,BJ22,BJ24,BJ26,BJ28,BJ30)*100,0)</f>
        <v>0</v>
      </c>
      <c r="BM2" s="1" t="e">
        <f>AVERAGE(#REF!,#REF!,BM4,BM6,BM8,BM10,BM12,BM14,BM16,BM18,BM20,BM22,BM24,BM26,BM28,BM30)</f>
        <v>#REF!</v>
      </c>
      <c r="BN2" s="1" t="e">
        <f>AVERAGE(#REF!,#REF!,BN4,BN6,BN8,BN10,BN12,BN14,BN16,BN18,BN20,BN22,BN24,BN26,BN28,BN30)</f>
        <v>#REF!</v>
      </c>
      <c r="BO2" s="1">
        <f>IFERROR(SUM(#REF!,#REF!,BN4,BN6,BN8,BN10,BN12,BN14,BN16,BN18,BN20,BN22,BN24,BN26,BN28,BN30)/SUM(#REF!,#REF!,BM4,BM6,BM8,BM10,BM12,BM14,BM16,BM18,BM20,BM22,BM24,BM26,BM28,BM30)*100,0)</f>
        <v>0</v>
      </c>
      <c r="BP2" s="1" t="e">
        <f>AVERAGE(#REF!,#REF!,BP4,BP6,BP8,BP10,BP12,BP14,BP16,BP18,BP20,BP22,BP24,BP26,BP28,BP30)</f>
        <v>#REF!</v>
      </c>
      <c r="BQ2" s="1" t="e">
        <f>AVERAGE(#REF!,#REF!,BQ4,BQ6,BQ8,BQ10,BQ12,BQ14,BQ16,BQ18,BQ20,BQ22,BQ24,BQ26,BQ28,BQ30)</f>
        <v>#REF!</v>
      </c>
      <c r="BR2" s="1">
        <f>IFERROR(SUM(#REF!,#REF!,BQ4,BQ6,BQ8,BQ10,BQ12,BQ14,BQ16,BQ18,BQ20,BQ22,BQ24,BQ26,BQ28,BQ30)/SUM(#REF!,#REF!,BP4,BP6,BP8,BP10,BP12,BP14,BP16,BP18,BP20,BP22,BP24,BP26,BP28,BP30)*100,0)</f>
        <v>0</v>
      </c>
      <c r="BS2" s="1" t="e">
        <f>AVERAGE(#REF!,#REF!,BS4,BS6,BS8,BS10,BS12,BS14,BS16,BS18,BS20,BS22,BS24,BS26,BS28,BS30)</f>
        <v>#REF!</v>
      </c>
      <c r="BT2" s="1" t="e">
        <f>AVERAGE(#REF!,#REF!,BT4,BT6,BT8,BT10,BT12,BT14,BT16,BT18,BT20,BT22,BT24,BT26,BT28,BT30)</f>
        <v>#REF!</v>
      </c>
      <c r="BU2" s="1">
        <f>IFERROR(SUM(#REF!,#REF!,BT4,BT6,BT8,BT10,BT12,BT14,BT16,BT18,BT20,BT22,BT24,BT26,BT28,BT30)/SUM(#REF!,#REF!,BS4,BS6,BS8,BS10,BS12,BS14,BS16,BS18,BS20,BS22,BS24,BS26,BS28,BS30)*100,0)</f>
        <v>0</v>
      </c>
      <c r="BV2" s="1" t="e">
        <f>AVERAGE(#REF!,#REF!,BV4,BV6,BV8,BV10,BV12,BV14,BV16,BV18,BV20,BV22,BV24,BV26,BV28,BV30)</f>
        <v>#REF!</v>
      </c>
      <c r="BW2" s="1" t="e">
        <f>AVERAGE(#REF!,#REF!,BW4,BW6,BW8,BW10,BW12,BW14,BW16,BW18,BW20,BW22,BW24,BW26,BW28,BW30)</f>
        <v>#REF!</v>
      </c>
      <c r="BX2" s="1" t="e">
        <f>AVERAGE(#REF!,#REF!,BX4,BX6,BX8,BX10,BX12,BX14,BX16,BX18,BX20,BX22,BX24,BX26,BX28,BX30)</f>
        <v>#REF!</v>
      </c>
      <c r="BY2" s="1" t="e">
        <f>AVERAGE(#REF!,#REF!,BY4,BY6,BY8,BY10,BY12,BY14,BY16,BY18,BY20,BY22,BY24,BY26,BY28,BY30)</f>
        <v>#REF!</v>
      </c>
      <c r="BZ2" s="1" t="e">
        <f>AVERAGE(#REF!,#REF!,BZ4,BZ6,BZ8,BZ10,BZ12,BZ14,BZ16,BZ18,BZ20,BZ22,BZ24,BZ26,BZ28,BZ30)</f>
        <v>#REF!</v>
      </c>
      <c r="CA2" s="1" t="e">
        <f>AVERAGE(#REF!,#REF!,CA4,CA6,CA8,CA10,CA12,CA14,CA16,CA18,CA20,CA22,CA24,CA26,CA28,CA30)</f>
        <v>#REF!</v>
      </c>
      <c r="CB2" s="1" t="e">
        <f>AVERAGE(#REF!,#REF!,CB4,CB6,CB8,CB10,CB12,CB14,CB16,CB18,CB20,CB22,CB24,CB26,CB28,CB30)</f>
        <v>#REF!</v>
      </c>
      <c r="CC2" s="1">
        <f>IFERROR(SUM(#REF!,#REF!,CB4,CB6,CB8,CB10,CB12,CB14,CB16,CB18,CB20,CB22,CB24,CB26,CB28,CB30)/SUM(#REF!,#REF!,CA4,CA6,CA8,CA10,CA12,CA14,CA16,CA18,CA20,CA22,CA24,CA26,CA28,CA30)*100,0)</f>
        <v>0</v>
      </c>
      <c r="CD2" s="1" t="e">
        <f>AVERAGE(#REF!,#REF!,CD4,CD6,CD8,CD10,CD12,CD14,CD16,CD18,CD20,CD22,CD24,CD26,CD28,CD30)</f>
        <v>#REF!</v>
      </c>
      <c r="CE2" s="1" t="e">
        <f>AVERAGE(#REF!,#REF!,CE4,CE6,CE8,CE10,CE12,CE14,CE16,CE18,CE20,CE22,CE24,CE26,CE28,CE30)</f>
        <v>#REF!</v>
      </c>
      <c r="CF2" s="1">
        <f>IFERROR(SUM(#REF!,#REF!,CE4,CE6,CE8,CE10,CE12,CE14,CE16,CE18,CE20,CE22,CE24,CE26,CE28,CE30)/SUM(#REF!,#REF!,CD4,CD6,CD8,CD10,CD12,CD14,CD16,CD18,CD20,CD22,CD24,CD26,CD28,CD30)*100,0)</f>
        <v>0</v>
      </c>
      <c r="CG2" s="1" t="e">
        <f>AVERAGE(#REF!,#REF!,CG4,CG6,CG8,CG10,CG12,CG14,CG16,CG18,CG20,CG22,CG24,CG26,CG28,CG30)</f>
        <v>#REF!</v>
      </c>
      <c r="CH2" s="1" t="e">
        <f>AVERAGE(#REF!,#REF!,CH4,CH6,CH8,CH10,CH12,CH14,CH16,CH18,CH20,CH22,CH24,CH26,CH28,CH30)</f>
        <v>#REF!</v>
      </c>
      <c r="CI2" s="1">
        <f>IFERROR(SUM(#REF!,#REF!,CH4,CH6,CH8,CH10,CH12,CH14,CH16,CH18,CH20,CH22,CH24,CH26,CH28,CH30)/SUM(#REF!,#REF!,CG4,CG6,CG8,CG10,CG12,CG14,CG16,CG18,CG20,CG22,CG24,CG26,CG28,CG30)*100,0)</f>
        <v>0</v>
      </c>
      <c r="CJ2" s="1" t="e">
        <f>AVERAGE(#REF!,#REF!,CJ4,CJ6,CJ8,CJ10,CJ12,CJ14,CJ16,CJ18,CJ20,CJ22,CJ24,CJ26,CJ28,CJ30)</f>
        <v>#REF!</v>
      </c>
      <c r="CK2" s="1" t="e">
        <f>AVERAGE(#REF!,#REF!,CK4,CK6,CK8,CK10,CK12,CK14,CK16,CK18,CK20,CK22,CK24,CK26,CK28,CK30)</f>
        <v>#REF!</v>
      </c>
      <c r="CL2" s="1">
        <f>IFERROR(SUM(#REF!,#REF!,CK4,CK6,CK8,CK10,CK12,CK14,CK16,CK18,CK20,CK22,CK24,CK26,CK28,CK30)/SUM(#REF!,#REF!,CJ4,CJ6,CJ8,CJ10,CJ12,CJ14,CJ16,CJ18,CJ20,CJ22,CJ24,CJ26,CJ28,CJ30)*100,0)</f>
        <v>0</v>
      </c>
      <c r="CM2" s="1" t="e">
        <f>AVERAGE(#REF!,#REF!,CM4,CM6,CM8,CM10,CM12,CM14,CM16,CM18,CM20,CM22,CM24,CM26,CM28,CM30)</f>
        <v>#REF!</v>
      </c>
      <c r="CN2" s="1" t="e">
        <f>AVERAGE(#REF!,#REF!,CN4,CN6,CN8,CN10,CN12,CN14,CN16,CN18,CN20,CN22,CN24,CN26,CN28,CN30)</f>
        <v>#REF!</v>
      </c>
      <c r="CO2" s="1">
        <f>IFERROR(SUM(#REF!,#REF!,CN4,CN6,CN8,CN10,CN12,CN14,CN16,CN18,CN20,CN22,CN24,CN26,CN28,CN30)/SUM(#REF!,#REF!,CM4,CM6,CM8,CM10,CM12,CM14,CM16,CM18,CM20,CM22,CM24,CM26,CM28,CM30)*100,0)</f>
        <v>0</v>
      </c>
      <c r="CP2" s="1" t="e">
        <f>AVERAGE(#REF!,#REF!,CP4,CP6,CP8,CP10,CP12,CP14,CP16,CP18,CP20,CP22,CP24,CP26,CP28,CP30)</f>
        <v>#REF!</v>
      </c>
      <c r="CQ2" s="1" t="e">
        <f>AVERAGE(#REF!,#REF!,CQ4,CQ6,CQ8,CQ10,CQ12,CQ14,CQ16,CQ18,CQ20,CQ22,CQ24,CQ26,CQ28,CQ30)</f>
        <v>#REF!</v>
      </c>
      <c r="CR2" s="1">
        <f>IFERROR(SUM(#REF!,#REF!,CQ4,CQ6,CQ8,CQ10,CQ12,CQ14,CQ16,CQ18,CQ20,CQ22,CQ24,CQ26,CQ28,CQ30)/SUM(#REF!,#REF!,CP4,CP6,CP8,CP10,CP12,CP14,CP16,CP18,CP20,CP22,CP24,CP26,CP28,CP30)*100,0)</f>
        <v>0</v>
      </c>
      <c r="CS2" s="1" t="e">
        <f>AVERAGE(#REF!,#REF!,CS4,CS6,CS8,CS10,CS12,CS14,CS16,CS18,CS20,CS22,CS24,CS26,CS28,CS30)</f>
        <v>#REF!</v>
      </c>
      <c r="CT2" s="1" t="e">
        <f>AVERAGE(#REF!,#REF!,CT4,CT6,CT8,CT10,CT12,CT14,CT16,CT18,CT20,CT22,CT24,CT26,CT28,CT30)</f>
        <v>#REF!</v>
      </c>
      <c r="CU2" s="1">
        <f>IFERROR(SUM(#REF!,#REF!,CT4,CT6,CT8,CT10,CT12,CT14,CT16,CT18,CT20,CT22,CT24,CT26,CT28,CT30)/SUM(#REF!,#REF!,CS4,CS6,CS8,CS10,CS12,CS14,CS16,CS18,CS20,CS22,CS24,CS26,CS28,CS30)*100,0)</f>
        <v>0</v>
      </c>
      <c r="CV2" s="1" t="e">
        <f>AVERAGE(#REF!,#REF!,CV4,CV6,CV8,CV10,CV12,CV14,CV16,CV18,CV20,CV22,CV24,CV26,CV28,CV30)</f>
        <v>#REF!</v>
      </c>
      <c r="CW2" s="1" t="e">
        <f>AVERAGE(#REF!,#REF!,CW4,CW6,CW8,CW10,CW12,CW14,CW16,CW18,CW20,CW22,CW24,CW26,CW28,CW30)</f>
        <v>#REF!</v>
      </c>
      <c r="CX2" s="1">
        <f>IFERROR(SUM(#REF!,#REF!,CW4,CW6,CW8,CW10,CW12,CW14,CW16,CW18,CW20,CW22,CW24,CW26,CW28,CW30)/SUM(#REF!,#REF!,CV4,CV6,CV8,CV10,CV12,CV14,CV16,CV18,CV20,CV22,CV24,CV26,CV28,CV30)*100,0)</f>
        <v>0</v>
      </c>
      <c r="CY2" s="1" t="e">
        <f>AVERAGE(#REF!,#REF!,CY4,CY6,CY8,CY10,CY12,CY14,CY16,CY18,CY20,CY22,CY24,CY26,CY28,CY30)</f>
        <v>#REF!</v>
      </c>
      <c r="CZ2" s="1" t="e">
        <f>AVERAGE(#REF!,#REF!,CZ4,CZ6,CZ8,CZ10,CZ12,CZ14,CZ16,CZ18,CZ20,CZ22,CZ24,CZ26,CZ28,CZ30)</f>
        <v>#REF!</v>
      </c>
      <c r="DA2" s="1" t="e">
        <f>AVERAGE(#REF!,#REF!,DA4,DA6,DA8,DA10,DA12,DA14,DA16,DA18,DA20,DA22,DA24,DA26,DA28,DA30)</f>
        <v>#REF!</v>
      </c>
      <c r="DB2" s="1" t="e">
        <f>AVERAGE(#REF!,#REF!,DB4,DB6,DB8,DB10,DB12,DB14,DB16,DB18,DB20,DB22,DB24,DB26,DB28,DB30)</f>
        <v>#REF!</v>
      </c>
      <c r="DC2" s="1" t="e">
        <f>AVERAGE(#REF!,#REF!,DC4,DC6,DC8,DC10,DC12,DC14,DC16,DC18,DC20,DC22,DC24,DC26,DC28,DC30)</f>
        <v>#REF!</v>
      </c>
      <c r="DD2" s="1" t="e">
        <f>AVERAGE(#REF!,#REF!,DD4,DD6,DD8,DD10,DD12,DD14,DD16,DD18,DD20,DD22,DD24,DD26,DD28,DD30)</f>
        <v>#REF!</v>
      </c>
      <c r="DE2" s="1" t="e">
        <f>AVERAGE(#REF!,#REF!,DE4,DE6,DE8,DE10,DE12,DE14,DE16,DE18,DE20,DE22,DE24,DE26,DE28,DE30)</f>
        <v>#REF!</v>
      </c>
    </row>
    <row r="3" spans="1:109" x14ac:dyDescent="0.2">
      <c r="A3" s="1" t="s">
        <v>55</v>
      </c>
      <c r="B3" s="1"/>
      <c r="C3" s="1"/>
      <c r="D3" s="1"/>
      <c r="E3" s="1"/>
      <c r="F3" s="1"/>
      <c r="G3" s="1" t="e">
        <f>AVERAGE(#REF!,#REF!,G5,G7,G9,G11,G13,G15,G17,G19,G21,G23,G25,G27,G29,G31)</f>
        <v>#REF!</v>
      </c>
      <c r="H3" s="1" t="e">
        <f>AVERAGE(#REF!,#REF!,H5,H7,H9,H11,H13,H15,H17,H19,H21,H23,H25,H27,H29,H31)</f>
        <v>#REF!</v>
      </c>
      <c r="I3" s="1" t="e">
        <f>AVERAGE(#REF!,#REF!,I5,I7,I9,I11,I13,I15,I17,I19,I21,I23,I25,I27,I29,I31)</f>
        <v>#REF!</v>
      </c>
      <c r="J3" s="1" t="e">
        <f>AVERAGE(#REF!,#REF!,J5,J7,J9,J11,J13,J15,J17,J19,J21,J23,J25,J27,J29,J31)</f>
        <v>#REF!</v>
      </c>
      <c r="K3" s="1">
        <f>IFERROR(SUM(#REF!,#REF!,J5,J7,J9,J11,J13,J15,J17,J19,J21,J23,J25,J27,J29,J31)/SUM(#REF!,#REF!,I5,I7,I9,I11,I13,I15,I17,I19,I21,I23,I25,I27,I29,I31)*100,0)</f>
        <v>0</v>
      </c>
      <c r="L3" s="1" t="e">
        <f>AVERAGE(#REF!,#REF!,L5,L7,L9,L11,L13,L15,L17,L19,L21,L23,L25,L27,L29,L31)</f>
        <v>#REF!</v>
      </c>
      <c r="M3" s="1" t="e">
        <f>AVERAGE(#REF!,#REF!,M5,M7,M9,M11,M13,M15,M17,M19,M21,M23,M25,M27,M29,M31)</f>
        <v>#REF!</v>
      </c>
      <c r="N3" s="1">
        <f>IFERROR(SUM(#REF!,#REF!,M5,M7,M9,M11,M13,M15,M17,M19,M21,M23,M25,M27,M29,M31)/SUM(#REF!,#REF!,L5,L7,L9,L11,L13,L15,L17,L19,L21,L23,L25,L27,L29,L31)*100,0)</f>
        <v>0</v>
      </c>
      <c r="O3" s="1" t="e">
        <f>AVERAGE(#REF!,#REF!,O5,O7,O9,O11,O13,O15,O17,O19,O21,O23,O25,O27,O29,O31)</f>
        <v>#REF!</v>
      </c>
      <c r="P3" s="1" t="e">
        <f>AVERAGE(#REF!,#REF!,P5,P7,P9,P11,P13,P15,P17,P19,P21,P23,P25,P27,P29,P31)</f>
        <v>#REF!</v>
      </c>
      <c r="Q3" s="1" t="e">
        <f>AVERAGE(#REF!,#REF!,Q5,Q7,Q9,Q11,Q13,Q15,Q17,Q19,Q21,Q23,Q25,Q27,Q29,Q31)</f>
        <v>#REF!</v>
      </c>
      <c r="R3" s="1" t="e">
        <f>AVERAGE(#REF!,#REF!,R5,R7,R9,R11,R13,R15,R17,R19,R21,R23,R25,R27,R29,R31)</f>
        <v>#REF!</v>
      </c>
      <c r="S3" s="1" t="e">
        <f>AVERAGE(#REF!,#REF!,S5,S7,S9,S11,S13,S15,S17,S19,S21,S23,S25,S27,S29,S31)</f>
        <v>#REF!</v>
      </c>
      <c r="T3" s="1" t="e">
        <f>AVERAGE(#REF!,#REF!,T5,T7,T9,T11,T13,T15,T17,T19,T21,T23,T25,T27,T29,T31)</f>
        <v>#REF!</v>
      </c>
      <c r="U3" s="1" t="e">
        <f>AVERAGE(#REF!,#REF!,U5,U7,U9,U11,U13,U15,U17,U19,U21,U23,U25,U27,U29,U31)</f>
        <v>#REF!</v>
      </c>
      <c r="V3" s="1" t="e">
        <f>AVERAGE(#REF!,#REF!,V5,V7,V9,V11,V13,V15,V17,V19,V21,V23,V25,V27,V29,V31)</f>
        <v>#REF!</v>
      </c>
      <c r="W3" s="1" t="e">
        <f>AVERAGE(#REF!,#REF!,W5,W7,W9,W11,W13,W15,W17,W19,W21,W23,W25,W27,W29,W31)</f>
        <v>#REF!</v>
      </c>
      <c r="X3" s="1" t="e">
        <f>AVERAGE(#REF!,#REF!,X5,X7,X9,X11,X13,X15,X17,X19,X21,X23,X25,X27,X29,X31)</f>
        <v>#REF!</v>
      </c>
      <c r="Y3" s="1" t="e">
        <f>AVERAGE(#REF!,#REF!,Y5,Y7,Y9,Y11,Y13,Y15,Y17,Y19,Y21,Y23,Y25,Y27,Y29,Y31)</f>
        <v>#REF!</v>
      </c>
      <c r="Z3" s="1">
        <f>IFERROR(SUM(#REF!,#REF!,Y5,Y7,Y9,Y11,Y13,Y15,Y17,Y19,Y21,Y23,Y25,Y27,Y29,Y31)/SUM(#REF!,#REF!,X5,X7,X9,X11,X13,X15,X17,X19,X21,X23,X25,X27,X29,X31)*100,0)</f>
        <v>0</v>
      </c>
      <c r="AA3" s="1" t="e">
        <f>AVERAGE(#REF!,#REF!,AA5,AA7,AA9,AA11,AA13,AA15,AA17,AA19,AA21,AA23,AA25,AA27,AA29,AA31)</f>
        <v>#REF!</v>
      </c>
      <c r="AB3" s="1" t="e">
        <f>AVERAGE(#REF!,#REF!,AB5,AB7,AB9,AB11,AB13,AB15,AB17,AB19,AB21,AB23,AB25,AB27,AB29,AB31)</f>
        <v>#REF!</v>
      </c>
      <c r="AC3" s="1">
        <f>IFERROR(SUM(#REF!,#REF!,AB5,AB7,AB9,AB11,AB13,AB15,AB17,AB19,AB21,AB23,AB25,AB27,AB29,AB31)/SUM(#REF!,#REF!,AA5,AA7,AA9,AA11,AA13,AA15,AA17,AA19,AA21,AA23,AA25,AA27,AA29,AA31)*100,0)</f>
        <v>0</v>
      </c>
      <c r="AD3" s="1" t="e">
        <f>AVERAGE(#REF!,#REF!,AD5,AD7,AD9,AD11,AD13,AD15,AD17,AD19,AD21,AD23,AD25,AD27,AD29,AD31)</f>
        <v>#REF!</v>
      </c>
      <c r="AE3" s="1" t="e">
        <f>AVERAGE(#REF!,#REF!,AE5,AE7,AE9,AE11,AE13,AE15,AE17,AE19,AE21,AE23,AE25,AE27,AE29,AE31)</f>
        <v>#REF!</v>
      </c>
      <c r="AF3" s="1">
        <f>IFERROR(SUM(#REF!,#REF!,AE5,AE7,AE9,AE11,AE13,AE15,AE17,AE19,AE21,AE23,AE25,AE27,AE29,AE31)/SUM(#REF!,#REF!,AD5,AD7,AD9,AD11,AD13,AD15,AD17,AD19,AD21,AD23,AD25,AD27,AD29,AD31)*100,0)</f>
        <v>0</v>
      </c>
      <c r="AG3" s="1" t="e">
        <f>AVERAGE(#REF!,#REF!,AG5,AG7,AG9,AG11,AG13,AG15,AG17,AG19,AG21,AG23,AG25,AG27,AG29,AG31)</f>
        <v>#REF!</v>
      </c>
      <c r="AH3" s="1" t="e">
        <f>AVERAGE(#REF!,#REF!,AH5,AH7,AH9,AH11,AH13,AH15,AH17,AH19,AH21,AH23,AH25,AH27,AH29,AH31)</f>
        <v>#REF!</v>
      </c>
      <c r="AI3" s="1">
        <f>IFERROR(SUM(#REF!,#REF!,AH5,AH7,AH9,AH11,AH13,AH15,AH17,AH19,AH21,AH23,AH25,AH27,AH29,AH31)/SUM(#REF!,#REF!,AG5,AG7,AG9,AG11,AG13,AG15,AG17,AG19,AG21,AG23,AG25,AG27,AG29,AG31)*100,0)</f>
        <v>0</v>
      </c>
      <c r="AJ3" s="1" t="e">
        <f>AVERAGE(#REF!,#REF!,AJ5,AJ7,AJ9,AJ11,AJ13,AJ15,AJ17,AJ19,AJ21,AJ23,AJ25,AJ27,AJ29,AJ31)</f>
        <v>#REF!</v>
      </c>
      <c r="AK3" s="1" t="e">
        <f>AVERAGE(#REF!,#REF!,AK5,AK7,AK9,AK11,AK13,AK15,AK17,AK19,AK21,AK23,AK25,AK27,AK29,AK31)</f>
        <v>#REF!</v>
      </c>
      <c r="AL3" s="1">
        <f>IFERROR(SUM(#REF!,#REF!,AK5,AK7,AK9,AK11,AK13,AK15,AK17,AK19,AK21,AK23,AK25,AK27,AK29,AK31)/SUM(#REF!,#REF!,AJ5,AJ7,AJ9,AJ11,AJ13,AJ15,AJ17,AJ19,AJ21,AJ23,AJ25,AJ27,AJ29,AJ31)*100,0)</f>
        <v>0</v>
      </c>
      <c r="AM3" s="1" t="e">
        <f>AVERAGE(#REF!,#REF!,AM5,AM7,AM9,AM11,AM13,AM15,AM17,AM19,AM21,AM23,AM25,AM27,AM29,AM31)</f>
        <v>#REF!</v>
      </c>
      <c r="AN3" s="1" t="e">
        <f>AVERAGE(#REF!,#REF!,AN5,AN7,AN9,AN11,AN13,AN15,AN17,AN19,AN21,AN23,AN25,AN27,AN29,AN31)</f>
        <v>#REF!</v>
      </c>
      <c r="AO3" s="1">
        <f>IFERROR(SUM(#REF!,#REF!,AN5,AN7,AN9,AN11,AN13,AN15,AN17,AN19,AN21,AN23,AN25,AN27,AN29,AN31)/SUM(#REF!,#REF!,AM5,AM7,AM9,AM11,AM13,AM15,AM17,AM19,AM21,AM23,AM25,AM27,AM29,AM31)*100,0)</f>
        <v>0</v>
      </c>
      <c r="AP3" s="1" t="e">
        <f>AVERAGE(#REF!,#REF!,AP5,AP7,AP9,AP11,AP13,AP15,AP17,AP19,AP21,AP23,AP25,AP27,AP29,AP31)</f>
        <v>#REF!</v>
      </c>
      <c r="AQ3" s="1" t="e">
        <f>AVERAGE(#REF!,#REF!,AQ5,AQ7,AQ9,AQ11,AQ13,AQ15,AQ17,AQ19,AQ21,AQ23,AQ25,AQ27,AQ29,AQ31)</f>
        <v>#REF!</v>
      </c>
      <c r="AR3" s="1">
        <f>IFERROR(SUM(#REF!,#REF!,AQ5,AQ7,AQ9,AQ11,AQ13,AQ15,AQ17,AQ19,AQ21,AQ23,AQ25,AQ27,AQ29,AQ31)/SUM(#REF!,#REF!,AP5,AP7,AP9,AP11,AP13,AP15,AP17,AP19,AP21,AP23,AP25,AP27,AP29,AP31)*100,0)</f>
        <v>0</v>
      </c>
      <c r="AS3" s="1" t="e">
        <f>AVERAGE(#REF!,#REF!,AS5,AS7,AS9,AS11,AS13,AS15,AS17,AS19,AS21,AS23,AS25,AS27,AS29,AS31)</f>
        <v>#REF!</v>
      </c>
      <c r="AT3" s="1" t="e">
        <f>AVERAGE(#REF!,#REF!,AT5,AT7,AT9,AT11,AT13,AT15,AT17,AT19,AT21,AT23,AT25,AT27,AT29,AT31)</f>
        <v>#REF!</v>
      </c>
      <c r="AU3" s="1">
        <f>IFERROR(SUM(#REF!,#REF!,AT5,AT7,AT9,AT11,AT13,AT15,AT17,AT19,AT21,AT23,AT25,AT27,AT29,AT31)/SUM(#REF!,#REF!,AS5,AS7,AS9,AS11,AS13,AS15,AS17,AS19,AS21,AS23,AS25,AS27,AS29,AS31)*100,0)</f>
        <v>0</v>
      </c>
      <c r="AV3" s="1" t="e">
        <f>AVERAGE(#REF!,#REF!,AV5,AV7,AV9,AV11,AV13,AV15,AV17,AV19,AV21,AV23,AV25,AV27,AV29,AV31)</f>
        <v>#REF!</v>
      </c>
      <c r="AW3" s="1" t="e">
        <f>AVERAGE(#REF!,#REF!,AW5,AW7,AW9,AW11,AW13,AW15,AW17,AW19,AW21,AW23,AW25,AW27,AW29,AW31)</f>
        <v>#REF!</v>
      </c>
      <c r="AX3" s="1">
        <f>IFERROR(SUM(#REF!,#REF!,AW5,AW7,AW9,AW11,AW13,AW15,AW17,AW19,AW21,AW23,AW25,AW27,AW29,AW31)/SUM(#REF!,#REF!,AV5,AV7,AV9,AV11,AV13,AV15,AV17,AV19,AV21,AV23,AV25,AV27,AV29,AV31)*100,0)</f>
        <v>0</v>
      </c>
      <c r="AY3" s="1" t="e">
        <f>AVERAGE(#REF!,#REF!,AY5,AY7,AY9,AY11,AY13,AY15,AY17,AY19,AY21,AY23,AY25,AY27,AY29,AY31)</f>
        <v>#REF!</v>
      </c>
      <c r="AZ3" s="1" t="e">
        <f>AVERAGE(#REF!,#REF!,AZ5,AZ7,AZ9,AZ11,AZ13,AZ15,AZ17,AZ19,AZ21,AZ23,AZ25,AZ27,AZ29,AZ31)</f>
        <v>#REF!</v>
      </c>
      <c r="BA3" s="1" t="e">
        <f>AVERAGE(#REF!,#REF!,BA5,BA7,BA9,BA11,BA13,BA15,BA17,BA19,BA21,BA23,BA25,BA27,BA29,BA31)</f>
        <v>#REF!</v>
      </c>
      <c r="BB3" s="1" t="e">
        <f>AVERAGE(#REF!,#REF!,BB5,BB7,BB9,BB11,BB13,BB15,BB17,BB19,BB21,BB23,BB25,BB27,BB29,BB31)</f>
        <v>#REF!</v>
      </c>
      <c r="BC3" s="1" t="e">
        <f>AVERAGE(#REF!,#REF!,BC5,BC7,BC9,BC11,BC13,BC15,BC17,BC19,BC21,BC23,BC25,BC27,BC29,BC31)</f>
        <v>#REF!</v>
      </c>
      <c r="BD3" s="1" t="e">
        <f>AVERAGE(#REF!,#REF!,BD5,BD7,BD9,BD11,BD13,BD15,BD17,BD19,BD21,BD23,BD25,BD27,BD29,BD31)</f>
        <v>#REF!</v>
      </c>
      <c r="BE3" s="1" t="e">
        <f>AVERAGE(#REF!,#REF!,BE5,BE7,BE9,BE11,BE13,BE15,BE17,BE19,BE21,BE23,BE25,BE27,BE29,BE31)</f>
        <v>#REF!</v>
      </c>
      <c r="BF3" s="1" t="e">
        <f>AVERAGE(#REF!,#REF!,BF5,BF7,BF9,BF11,BF13,BF15,BF17,BF19,BF21,BF23,BF25,BF27,BF29,BF31)</f>
        <v>#REF!</v>
      </c>
      <c r="BG3" s="1">
        <f>IFERROR(SUM(#REF!,#REF!,BF5,BF7,BF9,BF11,BF13,BF15,BF17,BF19,BF21,BF23,BF25,BF27,BF29,BF31)/SUM(#REF!,#REF!,BE5,BE7,BE9,BE11,BE13,BE15,BE17,BE19,BE21,BE23,BE25,BE27,BE29,BE31)*100,0)</f>
        <v>0</v>
      </c>
      <c r="BH3" s="1" t="e">
        <f>AVERAGE(#REF!,#REF!,BH5,BH7,BH9,BH11,BH13,BH15,BH17,BH19,BH21,BH23,BH25,BH27,BH29,BH31)</f>
        <v>#REF!</v>
      </c>
      <c r="BI3" s="1" t="e">
        <f>AVERAGE(#REF!,#REF!,BI5,BI7,BI9,BI11,BI13,BI15,BI17,BI19,BI21,BI23,BI25,BI27,BI29,BI31)</f>
        <v>#REF!</v>
      </c>
      <c r="BJ3" s="1" t="e">
        <f>AVERAGE(#REF!,#REF!,BJ5,BJ7,BJ9,BJ11,BJ13,BJ15,BJ17,BJ19,BJ21,BJ23,BJ25,BJ27,BJ29,BJ31)</f>
        <v>#REF!</v>
      </c>
      <c r="BK3" s="1" t="e">
        <f>AVERAGE(#REF!,#REF!,BK5,BK7,BK9,BK11,BK13,BK15,BK17,BK19,BK21,BK23,BK25,BK27,BK29,BK31)</f>
        <v>#REF!</v>
      </c>
      <c r="BL3" s="1">
        <f>IFERROR(SUM(#REF!,#REF!,BK5,BK7,BK9,BK11,BK13,BK15,BK17,BK19,BK21,BK23,BK25,BK27,BK29,BK31)/SUM(#REF!,#REF!,BJ5,BJ7,BJ9,BJ11,BJ13,BJ15,BJ17,BJ19,BJ21,BJ23,BJ25,BJ27,BJ29,BJ31)*100,0)</f>
        <v>0</v>
      </c>
      <c r="BM3" s="1" t="e">
        <f>AVERAGE(#REF!,#REF!,BM5,BM7,BM9,BM11,BM13,BM15,BM17,BM19,BM21,BM23,BM25,BM27,BM29,BM31)</f>
        <v>#REF!</v>
      </c>
      <c r="BN3" s="1" t="e">
        <f>AVERAGE(#REF!,#REF!,BN5,BN7,BN9,BN11,BN13,BN15,BN17,BN19,BN21,BN23,BN25,BN27,BN29,BN31)</f>
        <v>#REF!</v>
      </c>
      <c r="BO3" s="1">
        <f>IFERROR(SUM(#REF!,#REF!,BN5,BN7,BN9,BN11,BN13,BN15,BN17,BN19,BN21,BN23,BN25,BN27,BN29,BN31)/SUM(#REF!,#REF!,BM5,BM7,BM9,BM11,BM13,BM15,BM17,BM19,BM21,BM23,BM25,BM27,BM29,BM31)*100,0)</f>
        <v>0</v>
      </c>
      <c r="BP3" s="1" t="e">
        <f>AVERAGE(#REF!,#REF!,BP5,BP7,BP9,BP11,BP13,BP15,BP17,BP19,BP21,BP23,BP25,BP27,BP29,BP31)</f>
        <v>#REF!</v>
      </c>
      <c r="BQ3" s="1" t="e">
        <f>AVERAGE(#REF!,#REF!,BQ5,BQ7,BQ9,BQ11,BQ13,BQ15,BQ17,BQ19,BQ21,BQ23,BQ25,BQ27,BQ29,BQ31)</f>
        <v>#REF!</v>
      </c>
      <c r="BR3" s="1">
        <f>IFERROR(SUM(#REF!,#REF!,BQ5,BQ7,BQ9,BQ11,BQ13,BQ15,BQ17,BQ19,BQ21,BQ23,BQ25,BQ27,BQ29,BQ31)/SUM(#REF!,#REF!,BP5,BP7,BP9,BP11,BP13,BP15,BP17,BP19,BP21,BP23,BP25,BP27,BP29,BP31)*100,0)</f>
        <v>0</v>
      </c>
      <c r="BS3" s="1" t="e">
        <f>AVERAGE(#REF!,#REF!,BS5,BS7,BS9,BS11,BS13,BS15,BS17,BS19,BS21,BS23,BS25,BS27,BS29,BS31)</f>
        <v>#REF!</v>
      </c>
      <c r="BT3" s="1" t="e">
        <f>AVERAGE(#REF!,#REF!,BT5,BT7,BT9,BT11,BT13,BT15,BT17,BT19,BT21,BT23,BT25,BT27,BT29,BT31)</f>
        <v>#REF!</v>
      </c>
      <c r="BU3" s="1">
        <f>IFERROR(SUM(#REF!,#REF!,BT5,BT7,BT9,BT11,BT13,BT15,BT17,BT19,BT21,BT23,BT25,BT27,BT29,BT31)/SUM(#REF!,#REF!,BS5,BS7,BS9,BS11,BS13,BS15,BS17,BS19,BS21,BS23,BS25,BS27,BS29,BS31)*100,0)</f>
        <v>0</v>
      </c>
      <c r="BV3" s="1" t="e">
        <f>AVERAGE(#REF!,#REF!,BV5,BV7,BV9,BV11,BV13,BV15,BV17,BV19,BV21,BV23,BV25,BV27,BV29,BV31)</f>
        <v>#REF!</v>
      </c>
      <c r="BW3" s="1" t="e">
        <f>AVERAGE(#REF!,#REF!,BW5,BW7,BW9,BW11,BW13,BW15,BW17,BW19,BW21,BW23,BW25,BW27,BW29,BW31)</f>
        <v>#REF!</v>
      </c>
      <c r="BX3" s="1" t="e">
        <f>AVERAGE(#REF!,#REF!,BX5,BX7,BX9,BX11,BX13,BX15,BX17,BX19,BX21,BX23,BX25,BX27,BX29,BX31)</f>
        <v>#REF!</v>
      </c>
      <c r="BY3" s="1" t="e">
        <f>AVERAGE(#REF!,#REF!,BY5,BY7,BY9,BY11,BY13,BY15,BY17,BY19,BY21,BY23,BY25,BY27,BY29,BY31)</f>
        <v>#REF!</v>
      </c>
      <c r="BZ3" s="1" t="e">
        <f>AVERAGE(#REF!,#REF!,BZ5,BZ7,BZ9,BZ11,BZ13,BZ15,BZ17,BZ19,BZ21,BZ23,BZ25,BZ27,BZ29,BZ31)</f>
        <v>#REF!</v>
      </c>
      <c r="CA3" s="1" t="e">
        <f>AVERAGE(#REF!,#REF!,CA5,CA7,CA9,CA11,CA13,CA15,CA17,CA19,CA21,CA23,CA25,CA27,CA29,CA31)</f>
        <v>#REF!</v>
      </c>
      <c r="CB3" s="1" t="e">
        <f>AVERAGE(#REF!,#REF!,CB5,CB7,CB9,CB11,CB13,CB15,CB17,CB19,CB21,CB23,CB25,CB27,CB29,CB31)</f>
        <v>#REF!</v>
      </c>
      <c r="CC3" s="1">
        <f>IFERROR(SUM(#REF!,#REF!,CB5,CB7,CB9,CB11,CB13,CB15,CB17,CB19,CB21,CB23,CB25,CB27,CB29,CB31)/SUM(#REF!,#REF!,CA5,CA7,CA9,CA11,CA13,CA15,CA17,CA19,CA21,CA23,CA25,CA27,CA29,CA31)*100,0)</f>
        <v>0</v>
      </c>
      <c r="CD3" s="1" t="e">
        <f>AVERAGE(#REF!,#REF!,CD5,CD7,CD9,CD11,CD13,CD15,CD17,CD19,CD21,CD23,CD25,CD27,CD29,CD31)</f>
        <v>#REF!</v>
      </c>
      <c r="CE3" s="1" t="e">
        <f>AVERAGE(#REF!,#REF!,CE5,CE7,CE9,CE11,CE13,CE15,CE17,CE19,CE21,CE23,CE25,CE27,CE29,CE31)</f>
        <v>#REF!</v>
      </c>
      <c r="CF3" s="1">
        <f>IFERROR(SUM(#REF!,#REF!,CE5,CE7,CE9,CE11,CE13,CE15,CE17,CE19,CE21,CE23,CE25,CE27,CE29,CE31)/SUM(#REF!,#REF!,CD5,CD7,CD9,CD11,CD13,CD15,CD17,CD19,CD21,CD23,CD25,CD27,CD29,CD31)*100,0)</f>
        <v>0</v>
      </c>
      <c r="CG3" s="1" t="e">
        <f>AVERAGE(#REF!,#REF!,CG5,CG7,CG9,CG11,CG13,CG15,CG17,CG19,CG21,CG23,CG25,CG27,CG29,CG31)</f>
        <v>#REF!</v>
      </c>
      <c r="CH3" s="1" t="e">
        <f>AVERAGE(#REF!,#REF!,CH5,CH7,CH9,CH11,CH13,CH15,CH17,CH19,CH21,CH23,CH25,CH27,CH29,CH31)</f>
        <v>#REF!</v>
      </c>
      <c r="CI3" s="1">
        <f>IFERROR(SUM(#REF!,#REF!,CH5,CH7,CH9,CH11,CH13,CH15,CH17,CH19,CH21,CH23,CH25,CH27,CH29,CH31)/SUM(#REF!,#REF!,CG5,CG7,CG9,CG11,CG13,CG15,CG17,CG19,CG21,CG23,CG25,CG27,CG29,CG31)*100,0)</f>
        <v>0</v>
      </c>
      <c r="CJ3" s="1" t="e">
        <f>AVERAGE(#REF!,#REF!,CJ5,CJ7,CJ9,CJ11,CJ13,CJ15,CJ17,CJ19,CJ21,CJ23,CJ25,CJ27,CJ29,CJ31)</f>
        <v>#REF!</v>
      </c>
      <c r="CK3" s="1" t="e">
        <f>AVERAGE(#REF!,#REF!,CK5,CK7,CK9,CK11,CK13,CK15,CK17,CK19,CK21,CK23,CK25,CK27,CK29,CK31)</f>
        <v>#REF!</v>
      </c>
      <c r="CL3" s="1">
        <f>IFERROR(SUM(#REF!,#REF!,CK5,CK7,CK9,CK11,CK13,CK15,CK17,CK19,CK21,CK23,CK25,CK27,CK29,CK31)/SUM(#REF!,#REF!,CJ5,CJ7,CJ9,CJ11,CJ13,CJ15,CJ17,CJ19,CJ21,CJ23,CJ25,CJ27,CJ29,CJ31)*100,0)</f>
        <v>0</v>
      </c>
      <c r="CM3" s="1" t="e">
        <f>AVERAGE(#REF!,#REF!,CM5,CM7,CM9,CM11,CM13,CM15,CM17,CM19,CM21,CM23,CM25,CM27,CM29,CM31)</f>
        <v>#REF!</v>
      </c>
      <c r="CN3" s="1" t="e">
        <f>AVERAGE(#REF!,#REF!,CN5,CN7,CN9,CN11,CN13,CN15,CN17,CN19,CN21,CN23,CN25,CN27,CN29,CN31)</f>
        <v>#REF!</v>
      </c>
      <c r="CO3" s="1">
        <f>IFERROR(SUM(#REF!,#REF!,CN5,CN7,CN9,CN11,CN13,CN15,CN17,CN19,CN21,CN23,CN25,CN27,CN29,CN31)/SUM(#REF!,#REF!,CM5,CM7,CM9,CM11,CM13,CM15,CM17,CM19,CM21,CM23,CM25,CM27,CM29,CM31)*100,0)</f>
        <v>0</v>
      </c>
      <c r="CP3" s="1" t="e">
        <f>AVERAGE(#REF!,#REF!,CP5,CP7,CP9,CP11,CP13,CP15,CP17,CP19,CP21,CP23,CP25,CP27,CP29,CP31)</f>
        <v>#REF!</v>
      </c>
      <c r="CQ3" s="1" t="e">
        <f>AVERAGE(#REF!,#REF!,CQ5,CQ7,CQ9,CQ11,CQ13,CQ15,CQ17,CQ19,CQ21,CQ23,CQ25,CQ27,CQ29,CQ31)</f>
        <v>#REF!</v>
      </c>
      <c r="CR3" s="1">
        <f>IFERROR(SUM(#REF!,#REF!,CQ5,CQ7,CQ9,CQ11,CQ13,CQ15,CQ17,CQ19,CQ21,CQ23,CQ25,CQ27,CQ29,CQ31)/SUM(#REF!,#REF!,CP5,CP7,CP9,CP11,CP13,CP15,CP17,CP19,CP21,CP23,CP25,CP27,CP29,CP31)*100,0)</f>
        <v>0</v>
      </c>
      <c r="CS3" s="1" t="e">
        <f>AVERAGE(#REF!,#REF!,CS5,CS7,CS9,CS11,CS13,CS15,CS17,CS19,CS21,CS23,CS25,CS27,CS29,CS31)</f>
        <v>#REF!</v>
      </c>
      <c r="CT3" s="1" t="e">
        <f>AVERAGE(#REF!,#REF!,CT5,CT7,CT9,CT11,CT13,CT15,CT17,CT19,CT21,CT23,CT25,CT27,CT29,CT31)</f>
        <v>#REF!</v>
      </c>
      <c r="CU3" s="1">
        <f>IFERROR(SUM(#REF!,#REF!,CT5,CT7,CT9,CT11,CT13,CT15,CT17,CT19,CT21,CT23,CT25,CT27,CT29,CT31)/SUM(#REF!,#REF!,CS5,CS7,CS9,CS11,CS13,CS15,CS17,CS19,CS21,CS23,CS25,CS27,CS29,CS31)*100,0)</f>
        <v>0</v>
      </c>
      <c r="CV3" s="1" t="e">
        <f>AVERAGE(#REF!,#REF!,CV5,CV7,CV9,CV11,CV13,CV15,CV17,CV19,CV21,CV23,CV25,CV27,CV29,CV31)</f>
        <v>#REF!</v>
      </c>
      <c r="CW3" s="1" t="e">
        <f>AVERAGE(#REF!,#REF!,CW5,CW7,CW9,CW11,CW13,CW15,CW17,CW19,CW21,CW23,CW25,CW27,CW29,CW31)</f>
        <v>#REF!</v>
      </c>
      <c r="CX3" s="1">
        <f>IFERROR(SUM(#REF!,#REF!,CW5,CW7,CW9,CW11,CW13,CW15,CW17,CW19,CW21,CW23,CW25,CW27,CW29,CW31)/SUM(#REF!,#REF!,CV5,CV7,CV9,CV11,CV13,CV15,CV17,CV19,CV21,CV23,CV25,CV27,CV29,CV31)*100,0)</f>
        <v>0</v>
      </c>
      <c r="CY3" s="1" t="e">
        <f>AVERAGE(#REF!,#REF!,CY5,CY7,CY9,CY11,CY13,CY15,CY17,CY19,CY21,CY23,CY25,CY27,CY29,CY31)</f>
        <v>#REF!</v>
      </c>
      <c r="CZ3" s="1" t="e">
        <f>AVERAGE(#REF!,#REF!,CZ5,CZ7,CZ9,CZ11,CZ13,CZ15,CZ17,CZ19,CZ21,CZ23,CZ25,CZ27,CZ29,CZ31)</f>
        <v>#REF!</v>
      </c>
      <c r="DA3" s="1" t="e">
        <f>AVERAGE(#REF!,#REF!,DA5,DA7,DA9,DA11,DA13,DA15,DA17,DA19,DA21,DA23,DA25,DA27,DA29,DA31)</f>
        <v>#REF!</v>
      </c>
      <c r="DB3" s="1" t="e">
        <f>AVERAGE(#REF!,#REF!,DB5,DB7,DB9,DB11,DB13,DB15,DB17,DB19,DB21,DB23,DB25,DB27,DB29,DB31)</f>
        <v>#REF!</v>
      </c>
      <c r="DC3" s="1" t="e">
        <f>AVERAGE(#REF!,#REF!,DC5,DC7,DC9,DC11,DC13,DC15,DC17,DC19,DC21,DC23,DC25,DC27,DC29,DC31)</f>
        <v>#REF!</v>
      </c>
      <c r="DD3" s="1" t="e">
        <f>AVERAGE(#REF!,#REF!,DD5,DD7,DD9,DD11,DD13,DD15,DD17,DD19,DD21,DD23,DD25,DD27,DD29,DD31)</f>
        <v>#REF!</v>
      </c>
      <c r="DE3" s="1" t="e">
        <f>AVERAGE(#REF!,#REF!,DE5,DE7,DE9,DE11,DE13,DE15,DE17,DE19,DE21,DE23,DE25,DE27,DE29,DE31)</f>
        <v>#REF!</v>
      </c>
    </row>
    <row r="4" spans="1:109" ht="12" customHeight="1" x14ac:dyDescent="0.2">
      <c r="A4" s="2" t="s">
        <v>62</v>
      </c>
      <c r="B4" s="2" t="s">
        <v>63</v>
      </c>
      <c r="C4" s="2" t="s">
        <v>56</v>
      </c>
      <c r="D4" s="2">
        <v>96</v>
      </c>
      <c r="E4" t="s">
        <v>54</v>
      </c>
      <c r="F4" t="s">
        <v>57</v>
      </c>
      <c r="G4">
        <v>5</v>
      </c>
      <c r="H4">
        <v>1.66</v>
      </c>
      <c r="I4">
        <v>19</v>
      </c>
      <c r="J4">
        <v>8</v>
      </c>
      <c r="K4">
        <v>42.11</v>
      </c>
      <c r="L4">
        <v>568</v>
      </c>
      <c r="M4">
        <v>494</v>
      </c>
      <c r="N4">
        <v>86.97</v>
      </c>
      <c r="O4">
        <v>58.85</v>
      </c>
      <c r="P4">
        <v>111</v>
      </c>
      <c r="Q4">
        <v>18</v>
      </c>
      <c r="R4">
        <v>40</v>
      </c>
      <c r="S4">
        <v>53</v>
      </c>
      <c r="T4">
        <v>69</v>
      </c>
      <c r="U4">
        <v>24</v>
      </c>
      <c r="V4">
        <v>35</v>
      </c>
      <c r="W4">
        <v>10</v>
      </c>
      <c r="X4">
        <v>190</v>
      </c>
      <c r="Y4">
        <v>96</v>
      </c>
      <c r="Z4">
        <v>50.53</v>
      </c>
      <c r="AA4">
        <v>10</v>
      </c>
      <c r="AB4">
        <v>2</v>
      </c>
      <c r="AC4">
        <v>20</v>
      </c>
      <c r="AD4">
        <v>37</v>
      </c>
      <c r="AE4">
        <v>12</v>
      </c>
      <c r="AF4">
        <v>32.43</v>
      </c>
      <c r="AG4">
        <v>0</v>
      </c>
      <c r="AH4">
        <v>0</v>
      </c>
      <c r="AI4">
        <v>0</v>
      </c>
      <c r="AJ4">
        <v>36</v>
      </c>
      <c r="AK4">
        <v>7</v>
      </c>
      <c r="AL4">
        <v>19.440000000000001</v>
      </c>
      <c r="AM4">
        <v>8</v>
      </c>
      <c r="AN4">
        <v>4</v>
      </c>
      <c r="AO4">
        <v>50</v>
      </c>
      <c r="AP4">
        <v>2</v>
      </c>
      <c r="AQ4">
        <v>0</v>
      </c>
      <c r="AR4">
        <v>0</v>
      </c>
      <c r="AS4">
        <v>0</v>
      </c>
      <c r="AT4">
        <v>0</v>
      </c>
      <c r="AU4">
        <v>0</v>
      </c>
      <c r="AV4">
        <v>10</v>
      </c>
      <c r="AW4">
        <v>5</v>
      </c>
      <c r="AX4">
        <v>50</v>
      </c>
      <c r="AY4">
        <v>5</v>
      </c>
      <c r="AZ4">
        <v>4</v>
      </c>
      <c r="BA4">
        <v>18</v>
      </c>
      <c r="BB4">
        <v>3</v>
      </c>
      <c r="BC4">
        <v>6</v>
      </c>
      <c r="BD4">
        <v>13</v>
      </c>
      <c r="BE4">
        <v>97</v>
      </c>
      <c r="BF4">
        <v>38</v>
      </c>
      <c r="BG4">
        <v>39.18</v>
      </c>
      <c r="BH4">
        <v>1</v>
      </c>
      <c r="BI4">
        <v>1</v>
      </c>
      <c r="BJ4">
        <v>4</v>
      </c>
      <c r="BK4">
        <v>2</v>
      </c>
      <c r="BL4">
        <v>50</v>
      </c>
      <c r="BM4">
        <v>53</v>
      </c>
      <c r="BN4">
        <v>38</v>
      </c>
      <c r="BO4">
        <v>71.7</v>
      </c>
      <c r="BP4">
        <v>16</v>
      </c>
      <c r="BQ4">
        <v>8</v>
      </c>
      <c r="BR4">
        <v>50</v>
      </c>
      <c r="BS4">
        <v>1</v>
      </c>
      <c r="BT4">
        <v>0</v>
      </c>
      <c r="BU4">
        <v>0</v>
      </c>
      <c r="BV4">
        <v>33</v>
      </c>
      <c r="BW4">
        <v>8</v>
      </c>
      <c r="BX4">
        <v>10</v>
      </c>
      <c r="BY4">
        <v>1</v>
      </c>
      <c r="BZ4">
        <v>0</v>
      </c>
      <c r="CA4">
        <v>184</v>
      </c>
      <c r="CB4">
        <v>150</v>
      </c>
      <c r="CC4">
        <v>81.52</v>
      </c>
      <c r="CD4">
        <v>84</v>
      </c>
      <c r="CE4">
        <v>74</v>
      </c>
      <c r="CF4">
        <v>88.1</v>
      </c>
      <c r="CG4">
        <v>236</v>
      </c>
      <c r="CH4">
        <v>222</v>
      </c>
      <c r="CI4">
        <v>94.07</v>
      </c>
      <c r="CJ4">
        <v>24</v>
      </c>
      <c r="CK4">
        <v>13</v>
      </c>
      <c r="CL4">
        <v>54.17</v>
      </c>
      <c r="CM4">
        <v>68</v>
      </c>
      <c r="CN4">
        <v>53</v>
      </c>
      <c r="CO4">
        <v>77.94</v>
      </c>
      <c r="CP4">
        <v>73</v>
      </c>
      <c r="CQ4">
        <v>53</v>
      </c>
      <c r="CR4">
        <v>72.599999999999994</v>
      </c>
      <c r="CS4">
        <v>0</v>
      </c>
      <c r="CT4">
        <v>0</v>
      </c>
      <c r="CU4">
        <v>0</v>
      </c>
      <c r="CV4">
        <v>28</v>
      </c>
      <c r="CW4">
        <v>26</v>
      </c>
      <c r="CX4">
        <v>92.86</v>
      </c>
      <c r="CY4">
        <v>9</v>
      </c>
      <c r="CZ4">
        <v>17.21</v>
      </c>
      <c r="DA4">
        <v>4.9400000000000004</v>
      </c>
      <c r="DB4">
        <v>4.2300000000000004</v>
      </c>
      <c r="DC4">
        <v>19.059999999999999</v>
      </c>
      <c r="DD4">
        <v>17.690000000000001</v>
      </c>
      <c r="DE4">
        <v>9.61</v>
      </c>
    </row>
    <row r="5" spans="1:109" ht="12" customHeight="1" x14ac:dyDescent="0.2">
      <c r="A5" s="2" t="s">
        <v>62</v>
      </c>
      <c r="B5" s="2" t="s">
        <v>63</v>
      </c>
      <c r="C5" s="2" t="s">
        <v>56</v>
      </c>
      <c r="D5" s="2">
        <v>96</v>
      </c>
      <c r="E5" t="s">
        <v>64</v>
      </c>
      <c r="F5" t="s">
        <v>65</v>
      </c>
      <c r="G5">
        <v>1</v>
      </c>
      <c r="H5">
        <v>0.9</v>
      </c>
      <c r="I5">
        <v>4</v>
      </c>
      <c r="J5">
        <v>2</v>
      </c>
      <c r="K5">
        <v>50</v>
      </c>
      <c r="L5">
        <v>352</v>
      </c>
      <c r="M5">
        <v>271</v>
      </c>
      <c r="N5">
        <v>76.989999999999995</v>
      </c>
      <c r="O5">
        <v>41.15</v>
      </c>
      <c r="P5">
        <v>98</v>
      </c>
      <c r="Q5">
        <v>20</v>
      </c>
      <c r="R5">
        <v>45</v>
      </c>
      <c r="S5">
        <v>33</v>
      </c>
      <c r="T5">
        <v>65</v>
      </c>
      <c r="U5">
        <v>29</v>
      </c>
      <c r="V5">
        <v>26</v>
      </c>
      <c r="W5">
        <v>10</v>
      </c>
      <c r="X5">
        <v>190</v>
      </c>
      <c r="Y5">
        <v>91</v>
      </c>
      <c r="Z5">
        <v>47.89</v>
      </c>
      <c r="AA5">
        <v>1</v>
      </c>
      <c r="AB5">
        <v>0</v>
      </c>
      <c r="AC5">
        <v>0</v>
      </c>
      <c r="AD5">
        <v>22</v>
      </c>
      <c r="AE5">
        <v>3</v>
      </c>
      <c r="AF5">
        <v>13.64</v>
      </c>
      <c r="AG5">
        <v>0</v>
      </c>
      <c r="AH5">
        <v>0</v>
      </c>
      <c r="AI5">
        <v>0</v>
      </c>
      <c r="AJ5">
        <v>19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>
        <v>1</v>
      </c>
      <c r="AT5">
        <v>1</v>
      </c>
      <c r="AU5">
        <v>100</v>
      </c>
      <c r="AV5">
        <v>5</v>
      </c>
      <c r="AW5">
        <v>1</v>
      </c>
      <c r="AX5">
        <v>20</v>
      </c>
      <c r="AY5">
        <v>1</v>
      </c>
      <c r="AZ5">
        <v>1</v>
      </c>
      <c r="BA5">
        <v>16</v>
      </c>
      <c r="BB5">
        <v>2</v>
      </c>
      <c r="BC5">
        <v>4</v>
      </c>
      <c r="BD5">
        <v>5</v>
      </c>
      <c r="BE5">
        <v>53</v>
      </c>
      <c r="BF5">
        <v>15</v>
      </c>
      <c r="BG5">
        <v>28.3</v>
      </c>
      <c r="BH5">
        <v>5</v>
      </c>
      <c r="BI5">
        <v>5</v>
      </c>
      <c r="BJ5">
        <v>19</v>
      </c>
      <c r="BK5">
        <v>8</v>
      </c>
      <c r="BL5">
        <v>42.11</v>
      </c>
      <c r="BM5">
        <v>97</v>
      </c>
      <c r="BN5">
        <v>59</v>
      </c>
      <c r="BO5">
        <v>60.82</v>
      </c>
      <c r="BP5">
        <v>16</v>
      </c>
      <c r="BQ5">
        <v>8</v>
      </c>
      <c r="BR5">
        <v>50</v>
      </c>
      <c r="BS5">
        <v>3</v>
      </c>
      <c r="BT5">
        <v>2</v>
      </c>
      <c r="BU5">
        <v>66.67</v>
      </c>
      <c r="BV5">
        <v>42</v>
      </c>
      <c r="BW5">
        <v>14</v>
      </c>
      <c r="BX5">
        <v>14</v>
      </c>
      <c r="BY5">
        <v>1</v>
      </c>
      <c r="BZ5">
        <v>0</v>
      </c>
      <c r="CA5">
        <v>141</v>
      </c>
      <c r="CB5">
        <v>86</v>
      </c>
      <c r="CC5">
        <v>60.99</v>
      </c>
      <c r="CD5">
        <v>73</v>
      </c>
      <c r="CE5">
        <v>68</v>
      </c>
      <c r="CF5">
        <v>93.15</v>
      </c>
      <c r="CG5">
        <v>101</v>
      </c>
      <c r="CH5">
        <v>88</v>
      </c>
      <c r="CI5">
        <v>87.13</v>
      </c>
      <c r="CJ5">
        <v>51</v>
      </c>
      <c r="CK5">
        <v>26</v>
      </c>
      <c r="CL5">
        <v>50.98</v>
      </c>
      <c r="CM5">
        <v>39</v>
      </c>
      <c r="CN5">
        <v>23</v>
      </c>
      <c r="CO5">
        <v>58.97</v>
      </c>
      <c r="CP5">
        <v>68</v>
      </c>
      <c r="CQ5">
        <v>33</v>
      </c>
      <c r="CR5">
        <v>48.53</v>
      </c>
      <c r="CS5">
        <v>1</v>
      </c>
      <c r="CT5">
        <v>0</v>
      </c>
      <c r="CU5">
        <v>0</v>
      </c>
      <c r="CV5">
        <v>24</v>
      </c>
      <c r="CW5">
        <v>18</v>
      </c>
      <c r="CX5">
        <v>75</v>
      </c>
      <c r="CY5">
        <v>7</v>
      </c>
      <c r="CZ5">
        <v>15.25</v>
      </c>
      <c r="DA5">
        <v>3.17</v>
      </c>
      <c r="DB5">
        <v>14.49</v>
      </c>
      <c r="DC5">
        <v>18.739999999999998</v>
      </c>
      <c r="DD5">
        <v>19.809999999999999</v>
      </c>
      <c r="DE5">
        <v>11.39</v>
      </c>
    </row>
    <row r="6" spans="1:109" ht="12" customHeight="1" x14ac:dyDescent="0.2">
      <c r="A6" s="2" t="s">
        <v>66</v>
      </c>
      <c r="B6" s="2" t="s">
        <v>67</v>
      </c>
      <c r="C6" s="2" t="s">
        <v>56</v>
      </c>
      <c r="D6" s="2">
        <v>96</v>
      </c>
      <c r="E6" t="s">
        <v>54</v>
      </c>
      <c r="F6" t="s">
        <v>57</v>
      </c>
      <c r="G6">
        <v>3</v>
      </c>
      <c r="H6">
        <v>2.0699999999999998</v>
      </c>
      <c r="I6">
        <v>19</v>
      </c>
      <c r="J6">
        <v>7</v>
      </c>
      <c r="K6">
        <v>36.840000000000003</v>
      </c>
      <c r="L6">
        <v>492</v>
      </c>
      <c r="M6">
        <v>409</v>
      </c>
      <c r="N6">
        <v>83.13</v>
      </c>
      <c r="O6">
        <v>50.05</v>
      </c>
      <c r="P6">
        <v>115</v>
      </c>
      <c r="Q6">
        <v>20</v>
      </c>
      <c r="R6">
        <v>46</v>
      </c>
      <c r="S6">
        <v>49</v>
      </c>
      <c r="T6">
        <v>90</v>
      </c>
      <c r="U6">
        <v>37</v>
      </c>
      <c r="V6">
        <v>31</v>
      </c>
      <c r="W6">
        <v>22</v>
      </c>
      <c r="X6">
        <v>162</v>
      </c>
      <c r="Y6">
        <v>78</v>
      </c>
      <c r="Z6">
        <v>48.15</v>
      </c>
      <c r="AA6">
        <v>6</v>
      </c>
      <c r="AB6">
        <v>2</v>
      </c>
      <c r="AC6">
        <v>33.33</v>
      </c>
      <c r="AD6">
        <v>30</v>
      </c>
      <c r="AE6">
        <v>13</v>
      </c>
      <c r="AF6">
        <v>43.33</v>
      </c>
      <c r="AG6">
        <v>2</v>
      </c>
      <c r="AH6">
        <v>2</v>
      </c>
      <c r="AI6">
        <v>100</v>
      </c>
      <c r="AJ6">
        <v>22</v>
      </c>
      <c r="AK6">
        <v>4</v>
      </c>
      <c r="AL6">
        <v>18.18</v>
      </c>
      <c r="AM6">
        <v>5</v>
      </c>
      <c r="AN6">
        <v>4</v>
      </c>
      <c r="AO6">
        <v>80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16</v>
      </c>
      <c r="AW6">
        <v>6</v>
      </c>
      <c r="AX6">
        <v>37.5</v>
      </c>
      <c r="AY6">
        <v>6</v>
      </c>
      <c r="AZ6">
        <v>12</v>
      </c>
      <c r="BA6">
        <v>31</v>
      </c>
      <c r="BB6">
        <v>10</v>
      </c>
      <c r="BC6">
        <v>8</v>
      </c>
      <c r="BD6">
        <v>31</v>
      </c>
      <c r="BE6">
        <v>70</v>
      </c>
      <c r="BF6">
        <v>19</v>
      </c>
      <c r="BG6">
        <v>27.14</v>
      </c>
      <c r="BH6">
        <v>1</v>
      </c>
      <c r="BI6">
        <v>2</v>
      </c>
      <c r="BJ6">
        <v>13</v>
      </c>
      <c r="BK6">
        <v>6</v>
      </c>
      <c r="BL6">
        <v>46.15</v>
      </c>
      <c r="BM6">
        <v>55</v>
      </c>
      <c r="BN6">
        <v>38</v>
      </c>
      <c r="BO6">
        <v>69.09</v>
      </c>
      <c r="BP6">
        <v>15</v>
      </c>
      <c r="BQ6">
        <v>10</v>
      </c>
      <c r="BR6">
        <v>66.67</v>
      </c>
      <c r="BS6">
        <v>3</v>
      </c>
      <c r="BT6">
        <v>3</v>
      </c>
      <c r="BU6">
        <v>100</v>
      </c>
      <c r="BV6">
        <v>41</v>
      </c>
      <c r="BW6">
        <v>13</v>
      </c>
      <c r="BX6">
        <v>9</v>
      </c>
      <c r="BY6">
        <v>2</v>
      </c>
      <c r="BZ6">
        <v>0</v>
      </c>
      <c r="CA6">
        <v>164</v>
      </c>
      <c r="CB6">
        <v>122</v>
      </c>
      <c r="CC6">
        <v>74.39</v>
      </c>
      <c r="CD6">
        <v>82</v>
      </c>
      <c r="CE6">
        <v>77</v>
      </c>
      <c r="CF6">
        <v>93.9</v>
      </c>
      <c r="CG6">
        <v>188</v>
      </c>
      <c r="CH6">
        <v>166</v>
      </c>
      <c r="CI6">
        <v>88.3</v>
      </c>
      <c r="CJ6">
        <v>32</v>
      </c>
      <c r="CK6">
        <v>14</v>
      </c>
      <c r="CL6">
        <v>43.75</v>
      </c>
      <c r="CM6">
        <v>50</v>
      </c>
      <c r="CN6">
        <v>36</v>
      </c>
      <c r="CO6">
        <v>72</v>
      </c>
      <c r="CP6">
        <v>72</v>
      </c>
      <c r="CQ6">
        <v>53</v>
      </c>
      <c r="CR6">
        <v>73.61</v>
      </c>
      <c r="CS6">
        <v>1</v>
      </c>
      <c r="CT6">
        <v>0</v>
      </c>
      <c r="CU6">
        <v>0</v>
      </c>
      <c r="CV6">
        <v>22</v>
      </c>
      <c r="CW6">
        <v>22</v>
      </c>
      <c r="CX6">
        <v>100</v>
      </c>
      <c r="CY6">
        <v>5</v>
      </c>
      <c r="CZ6">
        <v>17.010000000000002</v>
      </c>
      <c r="DA6">
        <v>4.28</v>
      </c>
      <c r="DB6">
        <v>6.5</v>
      </c>
      <c r="DC6">
        <v>18.07</v>
      </c>
      <c r="DD6">
        <v>17.73</v>
      </c>
      <c r="DE6">
        <v>10.94</v>
      </c>
    </row>
    <row r="7" spans="1:109" ht="12" customHeight="1" x14ac:dyDescent="0.2">
      <c r="A7" s="2" t="s">
        <v>66</v>
      </c>
      <c r="B7" s="2" t="s">
        <v>67</v>
      </c>
      <c r="C7" s="2" t="s">
        <v>56</v>
      </c>
      <c r="D7" s="2">
        <v>96</v>
      </c>
      <c r="E7" t="s">
        <v>68</v>
      </c>
      <c r="F7" t="s">
        <v>61</v>
      </c>
      <c r="G7">
        <v>2</v>
      </c>
      <c r="H7">
        <v>1.71</v>
      </c>
      <c r="I7">
        <v>13</v>
      </c>
      <c r="J7">
        <v>6</v>
      </c>
      <c r="K7">
        <v>46.15</v>
      </c>
      <c r="L7">
        <v>494</v>
      </c>
      <c r="M7">
        <v>383</v>
      </c>
      <c r="N7">
        <v>77.53</v>
      </c>
      <c r="O7">
        <v>49.95</v>
      </c>
      <c r="P7">
        <v>137</v>
      </c>
      <c r="Q7">
        <v>29</v>
      </c>
      <c r="R7">
        <v>55</v>
      </c>
      <c r="S7">
        <v>53</v>
      </c>
      <c r="T7">
        <v>88</v>
      </c>
      <c r="U7">
        <v>42</v>
      </c>
      <c r="V7">
        <v>33</v>
      </c>
      <c r="W7">
        <v>13</v>
      </c>
      <c r="X7">
        <v>162</v>
      </c>
      <c r="Y7">
        <v>79</v>
      </c>
      <c r="Z7">
        <v>48.77</v>
      </c>
      <c r="AA7">
        <v>4</v>
      </c>
      <c r="AB7">
        <v>1</v>
      </c>
      <c r="AC7">
        <v>25</v>
      </c>
      <c r="AD7">
        <v>27</v>
      </c>
      <c r="AE7">
        <v>12</v>
      </c>
      <c r="AF7">
        <v>44.44</v>
      </c>
      <c r="AG7">
        <v>1</v>
      </c>
      <c r="AH7">
        <v>0</v>
      </c>
      <c r="AI7">
        <v>0</v>
      </c>
      <c r="AJ7">
        <v>21</v>
      </c>
      <c r="AK7">
        <v>1</v>
      </c>
      <c r="AL7">
        <v>4.76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17</v>
      </c>
      <c r="AW7">
        <v>4</v>
      </c>
      <c r="AX7">
        <v>23.53</v>
      </c>
      <c r="AY7">
        <v>3</v>
      </c>
      <c r="AZ7">
        <v>10</v>
      </c>
      <c r="BA7">
        <v>23</v>
      </c>
      <c r="BB7">
        <v>0</v>
      </c>
      <c r="BC7">
        <v>11</v>
      </c>
      <c r="BD7">
        <v>20</v>
      </c>
      <c r="BE7">
        <v>55</v>
      </c>
      <c r="BF7">
        <v>17</v>
      </c>
      <c r="BG7">
        <v>30.91</v>
      </c>
      <c r="BH7">
        <v>5</v>
      </c>
      <c r="BI7">
        <v>3</v>
      </c>
      <c r="BJ7">
        <v>19</v>
      </c>
      <c r="BK7">
        <v>7</v>
      </c>
      <c r="BL7">
        <v>36.840000000000003</v>
      </c>
      <c r="BM7">
        <v>70</v>
      </c>
      <c r="BN7">
        <v>51</v>
      </c>
      <c r="BO7">
        <v>72.86</v>
      </c>
      <c r="BP7">
        <v>15</v>
      </c>
      <c r="BQ7">
        <v>5</v>
      </c>
      <c r="BR7">
        <v>33.33</v>
      </c>
      <c r="BS7">
        <v>1</v>
      </c>
      <c r="BT7">
        <v>1</v>
      </c>
      <c r="BU7">
        <v>100</v>
      </c>
      <c r="BV7">
        <v>44</v>
      </c>
      <c r="BW7">
        <v>12</v>
      </c>
      <c r="BX7">
        <v>7</v>
      </c>
      <c r="BY7">
        <v>0</v>
      </c>
      <c r="BZ7">
        <v>0</v>
      </c>
      <c r="CA7">
        <v>173</v>
      </c>
      <c r="CB7">
        <v>114</v>
      </c>
      <c r="CC7">
        <v>65.900000000000006</v>
      </c>
      <c r="CD7">
        <v>78</v>
      </c>
      <c r="CE7">
        <v>71</v>
      </c>
      <c r="CF7">
        <v>91.03</v>
      </c>
      <c r="CG7">
        <v>181</v>
      </c>
      <c r="CH7">
        <v>157</v>
      </c>
      <c r="CI7">
        <v>86.74</v>
      </c>
      <c r="CJ7">
        <v>46</v>
      </c>
      <c r="CK7">
        <v>27</v>
      </c>
      <c r="CL7">
        <v>58.7</v>
      </c>
      <c r="CM7">
        <v>54</v>
      </c>
      <c r="CN7">
        <v>29</v>
      </c>
      <c r="CO7">
        <v>53.7</v>
      </c>
      <c r="CP7">
        <v>89</v>
      </c>
      <c r="CQ7">
        <v>45</v>
      </c>
      <c r="CR7">
        <v>50.56</v>
      </c>
      <c r="CS7">
        <v>2</v>
      </c>
      <c r="CT7">
        <v>2</v>
      </c>
      <c r="CU7">
        <v>100</v>
      </c>
      <c r="CV7">
        <v>31</v>
      </c>
      <c r="CW7">
        <v>29</v>
      </c>
      <c r="CX7">
        <v>93.55</v>
      </c>
      <c r="CY7">
        <v>10</v>
      </c>
      <c r="CZ7">
        <v>17.11</v>
      </c>
      <c r="DA7">
        <v>4.1900000000000004</v>
      </c>
      <c r="DB7">
        <v>9.31</v>
      </c>
      <c r="DC7">
        <v>17.190000000000001</v>
      </c>
      <c r="DD7">
        <v>19.61</v>
      </c>
      <c r="DE7">
        <v>16.55</v>
      </c>
    </row>
    <row r="8" spans="1:109" ht="12" customHeight="1" x14ac:dyDescent="0.2">
      <c r="A8" s="2" t="s">
        <v>69</v>
      </c>
      <c r="B8" s="2" t="s">
        <v>70</v>
      </c>
      <c r="C8" s="2" t="s">
        <v>56</v>
      </c>
      <c r="D8" s="2">
        <v>95</v>
      </c>
      <c r="E8" t="s">
        <v>54</v>
      </c>
      <c r="F8" t="s">
        <v>57</v>
      </c>
      <c r="G8">
        <v>3</v>
      </c>
      <c r="H8">
        <v>2.4500000000000002</v>
      </c>
      <c r="I8">
        <v>14</v>
      </c>
      <c r="J8">
        <v>8</v>
      </c>
      <c r="K8">
        <v>57.14</v>
      </c>
      <c r="L8">
        <v>422</v>
      </c>
      <c r="M8">
        <v>336</v>
      </c>
      <c r="N8">
        <v>79.62</v>
      </c>
      <c r="O8">
        <v>46.38</v>
      </c>
      <c r="P8">
        <v>117</v>
      </c>
      <c r="Q8">
        <v>30</v>
      </c>
      <c r="R8">
        <v>45</v>
      </c>
      <c r="S8">
        <v>42</v>
      </c>
      <c r="T8">
        <v>83</v>
      </c>
      <c r="U8">
        <v>39</v>
      </c>
      <c r="V8">
        <v>32</v>
      </c>
      <c r="W8">
        <v>12</v>
      </c>
      <c r="X8">
        <v>202</v>
      </c>
      <c r="Y8">
        <v>85</v>
      </c>
      <c r="Z8">
        <v>42.08</v>
      </c>
      <c r="AA8">
        <v>6</v>
      </c>
      <c r="AB8">
        <v>2</v>
      </c>
      <c r="AC8">
        <v>33.33</v>
      </c>
      <c r="AD8">
        <v>23</v>
      </c>
      <c r="AE8">
        <v>11</v>
      </c>
      <c r="AF8">
        <v>47.83</v>
      </c>
      <c r="AG8">
        <v>0</v>
      </c>
      <c r="AH8">
        <v>0</v>
      </c>
      <c r="AI8">
        <v>0</v>
      </c>
      <c r="AJ8">
        <v>28</v>
      </c>
      <c r="AK8">
        <v>2</v>
      </c>
      <c r="AL8">
        <v>7.14</v>
      </c>
      <c r="AM8">
        <v>1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12</v>
      </c>
      <c r="AW8">
        <v>4</v>
      </c>
      <c r="AX8">
        <v>33.33</v>
      </c>
      <c r="AY8">
        <v>5</v>
      </c>
      <c r="AZ8">
        <v>6</v>
      </c>
      <c r="BA8">
        <v>21</v>
      </c>
      <c r="BB8">
        <v>5</v>
      </c>
      <c r="BC8">
        <v>9</v>
      </c>
      <c r="BD8">
        <v>20</v>
      </c>
      <c r="BE8">
        <v>92</v>
      </c>
      <c r="BF8">
        <v>29</v>
      </c>
      <c r="BG8">
        <v>31.52</v>
      </c>
      <c r="BH8">
        <v>1</v>
      </c>
      <c r="BI8">
        <v>0</v>
      </c>
      <c r="BJ8">
        <v>21</v>
      </c>
      <c r="BK8">
        <v>8</v>
      </c>
      <c r="BL8">
        <v>38.1</v>
      </c>
      <c r="BM8">
        <v>65</v>
      </c>
      <c r="BN8">
        <v>37</v>
      </c>
      <c r="BO8">
        <v>56.92</v>
      </c>
      <c r="BP8">
        <v>25</v>
      </c>
      <c r="BQ8">
        <v>10</v>
      </c>
      <c r="BR8">
        <v>40</v>
      </c>
      <c r="BS8">
        <v>3</v>
      </c>
      <c r="BT8">
        <v>3</v>
      </c>
      <c r="BU8">
        <v>100</v>
      </c>
      <c r="BV8">
        <v>44</v>
      </c>
      <c r="BW8">
        <v>17</v>
      </c>
      <c r="BX8">
        <v>8</v>
      </c>
      <c r="BY8">
        <v>0</v>
      </c>
      <c r="BZ8">
        <v>0</v>
      </c>
      <c r="CA8">
        <v>158</v>
      </c>
      <c r="CB8">
        <v>110</v>
      </c>
      <c r="CC8">
        <v>69.62</v>
      </c>
      <c r="CD8">
        <v>52</v>
      </c>
      <c r="CE8">
        <v>49</v>
      </c>
      <c r="CF8">
        <v>94.23</v>
      </c>
      <c r="CG8">
        <v>153</v>
      </c>
      <c r="CH8">
        <v>137</v>
      </c>
      <c r="CI8">
        <v>89.54</v>
      </c>
      <c r="CJ8">
        <v>36</v>
      </c>
      <c r="CK8">
        <v>16</v>
      </c>
      <c r="CL8">
        <v>44.44</v>
      </c>
      <c r="CM8">
        <v>43</v>
      </c>
      <c r="CN8">
        <v>28</v>
      </c>
      <c r="CO8">
        <v>65.12</v>
      </c>
      <c r="CP8">
        <v>68</v>
      </c>
      <c r="CQ8">
        <v>38</v>
      </c>
      <c r="CR8">
        <v>55.88</v>
      </c>
      <c r="CS8">
        <v>2</v>
      </c>
      <c r="CT8">
        <v>2</v>
      </c>
      <c r="CU8">
        <v>100</v>
      </c>
      <c r="CV8">
        <v>17</v>
      </c>
      <c r="CW8">
        <v>17</v>
      </c>
      <c r="CX8">
        <v>100</v>
      </c>
      <c r="CY8">
        <v>11</v>
      </c>
      <c r="CZ8">
        <v>16.079999999999998</v>
      </c>
      <c r="DA8">
        <v>3.67</v>
      </c>
      <c r="DB8">
        <v>8.5299999999999994</v>
      </c>
      <c r="DC8">
        <v>16.53</v>
      </c>
      <c r="DD8">
        <v>19.16</v>
      </c>
      <c r="DE8">
        <v>10.38</v>
      </c>
    </row>
    <row r="9" spans="1:109" ht="12" customHeight="1" x14ac:dyDescent="0.2">
      <c r="A9" s="2" t="s">
        <v>69</v>
      </c>
      <c r="B9" s="2" t="s">
        <v>70</v>
      </c>
      <c r="C9" s="2" t="s">
        <v>56</v>
      </c>
      <c r="D9" s="2">
        <v>95</v>
      </c>
      <c r="E9" t="s">
        <v>71</v>
      </c>
      <c r="F9" t="s">
        <v>61</v>
      </c>
      <c r="G9">
        <v>0</v>
      </c>
      <c r="H9">
        <v>2.0499999999999998</v>
      </c>
      <c r="I9">
        <v>21</v>
      </c>
      <c r="J9">
        <v>8</v>
      </c>
      <c r="K9">
        <v>38.1</v>
      </c>
      <c r="L9">
        <v>510</v>
      </c>
      <c r="M9">
        <v>419</v>
      </c>
      <c r="N9">
        <v>82.16</v>
      </c>
      <c r="O9">
        <v>53.62</v>
      </c>
      <c r="P9">
        <v>116</v>
      </c>
      <c r="Q9">
        <v>21</v>
      </c>
      <c r="R9">
        <v>36</v>
      </c>
      <c r="S9">
        <v>59</v>
      </c>
      <c r="T9">
        <v>95</v>
      </c>
      <c r="U9">
        <v>39</v>
      </c>
      <c r="V9">
        <v>36</v>
      </c>
      <c r="W9">
        <v>20</v>
      </c>
      <c r="X9">
        <v>202</v>
      </c>
      <c r="Y9">
        <v>111</v>
      </c>
      <c r="Z9">
        <v>54.95</v>
      </c>
      <c r="AA9">
        <v>9</v>
      </c>
      <c r="AB9">
        <v>4</v>
      </c>
      <c r="AC9">
        <v>44.44</v>
      </c>
      <c r="AD9">
        <v>44</v>
      </c>
      <c r="AE9">
        <v>15</v>
      </c>
      <c r="AF9">
        <v>34.090000000000003</v>
      </c>
      <c r="AG9">
        <v>1</v>
      </c>
      <c r="AH9">
        <v>0</v>
      </c>
      <c r="AI9">
        <v>0</v>
      </c>
      <c r="AJ9">
        <v>28</v>
      </c>
      <c r="AK9">
        <v>5</v>
      </c>
      <c r="AL9">
        <v>17.86</v>
      </c>
      <c r="AM9">
        <v>8</v>
      </c>
      <c r="AN9">
        <v>4</v>
      </c>
      <c r="AO9">
        <v>50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20</v>
      </c>
      <c r="AW9">
        <v>8</v>
      </c>
      <c r="AX9">
        <v>40</v>
      </c>
      <c r="AY9">
        <v>8</v>
      </c>
      <c r="AZ9">
        <v>11</v>
      </c>
      <c r="BA9">
        <v>34</v>
      </c>
      <c r="BB9">
        <v>6</v>
      </c>
      <c r="BC9">
        <v>13</v>
      </c>
      <c r="BD9">
        <v>29</v>
      </c>
      <c r="BE9">
        <v>65</v>
      </c>
      <c r="BF9">
        <v>28</v>
      </c>
      <c r="BG9">
        <v>43.08</v>
      </c>
      <c r="BH9">
        <v>5</v>
      </c>
      <c r="BI9">
        <v>3</v>
      </c>
      <c r="BJ9">
        <v>14</v>
      </c>
      <c r="BK9">
        <v>8</v>
      </c>
      <c r="BL9">
        <v>57.14</v>
      </c>
      <c r="BM9">
        <v>92</v>
      </c>
      <c r="BN9">
        <v>63</v>
      </c>
      <c r="BO9">
        <v>68.48</v>
      </c>
      <c r="BP9">
        <v>25</v>
      </c>
      <c r="BQ9">
        <v>12</v>
      </c>
      <c r="BR9">
        <v>48</v>
      </c>
      <c r="BS9">
        <v>2</v>
      </c>
      <c r="BT9">
        <v>1</v>
      </c>
      <c r="BU9">
        <v>50</v>
      </c>
      <c r="BV9">
        <v>48</v>
      </c>
      <c r="BW9">
        <v>8</v>
      </c>
      <c r="BX9">
        <v>11</v>
      </c>
      <c r="BY9">
        <v>0</v>
      </c>
      <c r="BZ9">
        <v>0</v>
      </c>
      <c r="CA9">
        <v>167</v>
      </c>
      <c r="CB9">
        <v>122</v>
      </c>
      <c r="CC9">
        <v>73.05</v>
      </c>
      <c r="CD9">
        <v>74</v>
      </c>
      <c r="CE9">
        <v>67</v>
      </c>
      <c r="CF9">
        <v>90.54</v>
      </c>
      <c r="CG9">
        <v>181</v>
      </c>
      <c r="CH9">
        <v>161</v>
      </c>
      <c r="CI9">
        <v>88.95</v>
      </c>
      <c r="CJ9">
        <v>40</v>
      </c>
      <c r="CK9">
        <v>24</v>
      </c>
      <c r="CL9">
        <v>60</v>
      </c>
      <c r="CM9">
        <v>47</v>
      </c>
      <c r="CN9">
        <v>33</v>
      </c>
      <c r="CO9">
        <v>70.209999999999994</v>
      </c>
      <c r="CP9">
        <v>87</v>
      </c>
      <c r="CQ9">
        <v>54</v>
      </c>
      <c r="CR9">
        <v>62.07</v>
      </c>
      <c r="CS9">
        <v>0</v>
      </c>
      <c r="CT9">
        <v>0</v>
      </c>
      <c r="CU9">
        <v>0</v>
      </c>
      <c r="CV9">
        <v>20</v>
      </c>
      <c r="CW9">
        <v>17</v>
      </c>
      <c r="CX9">
        <v>85</v>
      </c>
      <c r="CY9">
        <v>11</v>
      </c>
      <c r="CZ9">
        <v>16.809999999999999</v>
      </c>
      <c r="DA9">
        <v>4.1500000000000004</v>
      </c>
      <c r="DB9">
        <v>7.84</v>
      </c>
      <c r="DC9">
        <v>18.53</v>
      </c>
      <c r="DD9">
        <v>17.84</v>
      </c>
      <c r="DE9">
        <v>7.95</v>
      </c>
    </row>
    <row r="10" spans="1:109" ht="12" customHeight="1" x14ac:dyDescent="0.2">
      <c r="A10" s="2" t="s">
        <v>72</v>
      </c>
      <c r="B10" s="2" t="s">
        <v>73</v>
      </c>
      <c r="C10" s="2" t="s">
        <v>56</v>
      </c>
      <c r="D10" s="2">
        <v>95</v>
      </c>
      <c r="E10" t="s">
        <v>54</v>
      </c>
      <c r="F10" t="s">
        <v>74</v>
      </c>
      <c r="G10">
        <v>1</v>
      </c>
      <c r="H10">
        <v>1.1599999999999999</v>
      </c>
      <c r="I10">
        <v>3</v>
      </c>
      <c r="J10">
        <v>2</v>
      </c>
      <c r="K10">
        <v>66.67</v>
      </c>
      <c r="L10">
        <v>332</v>
      </c>
      <c r="M10">
        <v>263</v>
      </c>
      <c r="N10">
        <v>79.22</v>
      </c>
      <c r="O10">
        <v>36.19</v>
      </c>
      <c r="P10">
        <v>109</v>
      </c>
      <c r="Q10">
        <v>39</v>
      </c>
      <c r="R10">
        <v>46</v>
      </c>
      <c r="S10">
        <v>24</v>
      </c>
      <c r="T10">
        <v>72</v>
      </c>
      <c r="U10">
        <v>55</v>
      </c>
      <c r="V10">
        <v>14</v>
      </c>
      <c r="W10">
        <v>3</v>
      </c>
      <c r="X10">
        <v>152</v>
      </c>
      <c r="Y10">
        <v>72</v>
      </c>
      <c r="Z10">
        <v>47.37</v>
      </c>
      <c r="AA10">
        <v>0</v>
      </c>
      <c r="AB10">
        <v>0</v>
      </c>
      <c r="AC10">
        <v>0</v>
      </c>
      <c r="AD10">
        <v>11</v>
      </c>
      <c r="AE10">
        <v>2</v>
      </c>
      <c r="AF10">
        <v>18.18</v>
      </c>
      <c r="AG10">
        <v>0</v>
      </c>
      <c r="AH10">
        <v>0</v>
      </c>
      <c r="AI10">
        <v>0</v>
      </c>
      <c r="AJ10">
        <v>26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1</v>
      </c>
      <c r="AT10">
        <v>1</v>
      </c>
      <c r="AU10">
        <v>100</v>
      </c>
      <c r="AV10">
        <v>9</v>
      </c>
      <c r="AW10">
        <v>1</v>
      </c>
      <c r="AX10">
        <v>11.11</v>
      </c>
      <c r="AY10">
        <v>1</v>
      </c>
      <c r="AZ10">
        <v>2</v>
      </c>
      <c r="BA10">
        <v>12</v>
      </c>
      <c r="BB10">
        <v>3</v>
      </c>
      <c r="BC10">
        <v>4</v>
      </c>
      <c r="BD10">
        <v>6</v>
      </c>
      <c r="BE10">
        <v>59</v>
      </c>
      <c r="BF10">
        <v>16</v>
      </c>
      <c r="BG10">
        <v>27.12</v>
      </c>
      <c r="BH10">
        <v>2</v>
      </c>
      <c r="BI10">
        <v>5</v>
      </c>
      <c r="BJ10">
        <v>18</v>
      </c>
      <c r="BK10">
        <v>13</v>
      </c>
      <c r="BL10">
        <v>72.22</v>
      </c>
      <c r="BM10">
        <v>65</v>
      </c>
      <c r="BN10">
        <v>41</v>
      </c>
      <c r="BO10">
        <v>63.08</v>
      </c>
      <c r="BP10">
        <v>11</v>
      </c>
      <c r="BQ10">
        <v>5</v>
      </c>
      <c r="BR10">
        <v>45.45</v>
      </c>
      <c r="BS10">
        <v>2</v>
      </c>
      <c r="BT10">
        <v>2</v>
      </c>
      <c r="BU10">
        <v>100</v>
      </c>
      <c r="BV10">
        <v>50</v>
      </c>
      <c r="BW10">
        <v>17</v>
      </c>
      <c r="BX10">
        <v>8</v>
      </c>
      <c r="BY10">
        <v>1</v>
      </c>
      <c r="BZ10">
        <v>1</v>
      </c>
      <c r="CA10">
        <v>121</v>
      </c>
      <c r="CB10">
        <v>83</v>
      </c>
      <c r="CC10">
        <v>68.599999999999994</v>
      </c>
      <c r="CD10">
        <v>48</v>
      </c>
      <c r="CE10">
        <v>44</v>
      </c>
      <c r="CF10">
        <v>91.67</v>
      </c>
      <c r="CG10">
        <v>122</v>
      </c>
      <c r="CH10">
        <v>107</v>
      </c>
      <c r="CI10">
        <v>87.7</v>
      </c>
      <c r="CJ10">
        <v>42</v>
      </c>
      <c r="CK10">
        <v>19</v>
      </c>
      <c r="CL10">
        <v>45.24</v>
      </c>
      <c r="CM10">
        <v>19</v>
      </c>
      <c r="CN10">
        <v>9</v>
      </c>
      <c r="CO10">
        <v>47.37</v>
      </c>
      <c r="CP10">
        <v>51</v>
      </c>
      <c r="CQ10">
        <v>22</v>
      </c>
      <c r="CR10">
        <v>43.14</v>
      </c>
      <c r="CS10">
        <v>2</v>
      </c>
      <c r="CT10">
        <v>0</v>
      </c>
      <c r="CU10">
        <v>0</v>
      </c>
      <c r="CV10">
        <v>12</v>
      </c>
      <c r="CW10">
        <v>11</v>
      </c>
      <c r="CX10">
        <v>91.67</v>
      </c>
      <c r="CY10">
        <v>7</v>
      </c>
      <c r="CZ10">
        <v>15.69</v>
      </c>
      <c r="DA10">
        <v>3.29</v>
      </c>
      <c r="DB10">
        <v>12.65</v>
      </c>
      <c r="DC10">
        <v>13.2</v>
      </c>
      <c r="DD10">
        <v>19.22</v>
      </c>
      <c r="DE10">
        <v>25.36</v>
      </c>
    </row>
    <row r="11" spans="1:109" ht="12" customHeight="1" x14ac:dyDescent="0.2">
      <c r="A11" s="2" t="s">
        <v>72</v>
      </c>
      <c r="B11" s="2" t="s">
        <v>73</v>
      </c>
      <c r="C11" s="2" t="s">
        <v>56</v>
      </c>
      <c r="D11" s="2">
        <v>95</v>
      </c>
      <c r="E11" t="s">
        <v>75</v>
      </c>
      <c r="F11" t="s">
        <v>76</v>
      </c>
      <c r="G11">
        <v>5</v>
      </c>
      <c r="H11">
        <v>2.31</v>
      </c>
      <c r="I11">
        <v>18</v>
      </c>
      <c r="J11">
        <v>13</v>
      </c>
      <c r="K11">
        <v>72.22</v>
      </c>
      <c r="L11">
        <v>728</v>
      </c>
      <c r="M11">
        <v>640</v>
      </c>
      <c r="N11">
        <v>87.91</v>
      </c>
      <c r="O11">
        <v>63.81</v>
      </c>
      <c r="P11">
        <v>95</v>
      </c>
      <c r="Q11">
        <v>3</v>
      </c>
      <c r="R11">
        <v>16</v>
      </c>
      <c r="S11">
        <v>76</v>
      </c>
      <c r="T11">
        <v>87</v>
      </c>
      <c r="U11">
        <v>16</v>
      </c>
      <c r="V11">
        <v>38</v>
      </c>
      <c r="W11">
        <v>33</v>
      </c>
      <c r="X11">
        <v>152</v>
      </c>
      <c r="Y11">
        <v>76</v>
      </c>
      <c r="Z11">
        <v>50</v>
      </c>
      <c r="AA11">
        <v>9</v>
      </c>
      <c r="AB11">
        <v>7</v>
      </c>
      <c r="AC11">
        <v>77.78</v>
      </c>
      <c r="AD11">
        <v>60</v>
      </c>
      <c r="AE11">
        <v>13</v>
      </c>
      <c r="AF11">
        <v>21.67</v>
      </c>
      <c r="AG11">
        <v>0</v>
      </c>
      <c r="AH11">
        <v>0</v>
      </c>
      <c r="AI11">
        <v>0</v>
      </c>
      <c r="AJ11">
        <v>17</v>
      </c>
      <c r="AK11">
        <v>5</v>
      </c>
      <c r="AL11">
        <v>29.41</v>
      </c>
      <c r="AM11">
        <v>7</v>
      </c>
      <c r="AN11">
        <v>3</v>
      </c>
      <c r="AO11">
        <v>42.86</v>
      </c>
      <c r="AP11">
        <v>3</v>
      </c>
      <c r="AQ11">
        <v>1</v>
      </c>
      <c r="AR11">
        <v>33.33</v>
      </c>
      <c r="AS11">
        <v>0</v>
      </c>
      <c r="AT11">
        <v>0</v>
      </c>
      <c r="AU11">
        <v>0</v>
      </c>
      <c r="AV11">
        <v>27</v>
      </c>
      <c r="AW11">
        <v>3</v>
      </c>
      <c r="AX11">
        <v>11.11</v>
      </c>
      <c r="AY11">
        <v>3</v>
      </c>
      <c r="AZ11">
        <v>17</v>
      </c>
      <c r="BA11">
        <v>40</v>
      </c>
      <c r="BB11">
        <v>7</v>
      </c>
      <c r="BC11">
        <v>11</v>
      </c>
      <c r="BD11">
        <v>33</v>
      </c>
      <c r="BE11">
        <v>65</v>
      </c>
      <c r="BF11">
        <v>24</v>
      </c>
      <c r="BG11">
        <v>36.92</v>
      </c>
      <c r="BH11">
        <v>5</v>
      </c>
      <c r="BI11">
        <v>1</v>
      </c>
      <c r="BJ11">
        <v>3</v>
      </c>
      <c r="BK11">
        <v>3</v>
      </c>
      <c r="BL11">
        <v>100</v>
      </c>
      <c r="BM11">
        <v>59</v>
      </c>
      <c r="BN11">
        <v>43</v>
      </c>
      <c r="BO11">
        <v>72.88</v>
      </c>
      <c r="BP11">
        <v>11</v>
      </c>
      <c r="BQ11">
        <v>5</v>
      </c>
      <c r="BR11">
        <v>45.45</v>
      </c>
      <c r="BS11">
        <v>1</v>
      </c>
      <c r="BT11">
        <v>1</v>
      </c>
      <c r="BU11">
        <v>100</v>
      </c>
      <c r="BV11">
        <v>31</v>
      </c>
      <c r="BW11">
        <v>1</v>
      </c>
      <c r="BX11">
        <v>12</v>
      </c>
      <c r="BY11">
        <v>2</v>
      </c>
      <c r="BZ11">
        <v>0</v>
      </c>
      <c r="CA11">
        <v>203</v>
      </c>
      <c r="CB11">
        <v>167</v>
      </c>
      <c r="CC11">
        <v>82.27</v>
      </c>
      <c r="CD11">
        <v>109</v>
      </c>
      <c r="CE11">
        <v>102</v>
      </c>
      <c r="CF11">
        <v>93.58</v>
      </c>
      <c r="CG11">
        <v>267</v>
      </c>
      <c r="CH11">
        <v>242</v>
      </c>
      <c r="CI11">
        <v>90.64</v>
      </c>
      <c r="CJ11">
        <v>23</v>
      </c>
      <c r="CK11">
        <v>11</v>
      </c>
      <c r="CL11">
        <v>47.83</v>
      </c>
      <c r="CM11">
        <v>105</v>
      </c>
      <c r="CN11">
        <v>86</v>
      </c>
      <c r="CO11">
        <v>81.900000000000006</v>
      </c>
      <c r="CP11">
        <v>83</v>
      </c>
      <c r="CQ11">
        <v>68</v>
      </c>
      <c r="CR11">
        <v>81.93</v>
      </c>
      <c r="CS11">
        <v>7</v>
      </c>
      <c r="CT11">
        <v>3</v>
      </c>
      <c r="CU11">
        <v>42.86</v>
      </c>
      <c r="CV11">
        <v>16</v>
      </c>
      <c r="CW11">
        <v>15</v>
      </c>
      <c r="CX11">
        <v>93.75</v>
      </c>
      <c r="CY11">
        <v>0</v>
      </c>
      <c r="CZ11">
        <v>19.510000000000002</v>
      </c>
      <c r="DA11">
        <v>6.8</v>
      </c>
      <c r="DB11">
        <v>3.16</v>
      </c>
      <c r="DC11">
        <v>18.84</v>
      </c>
      <c r="DD11">
        <v>15.96</v>
      </c>
      <c r="DE11">
        <v>7.05</v>
      </c>
    </row>
    <row r="12" spans="1:109" ht="12" customHeight="1" x14ac:dyDescent="0.2">
      <c r="A12" s="2" t="s">
        <v>77</v>
      </c>
      <c r="B12" s="2" t="s">
        <v>78</v>
      </c>
      <c r="C12" s="2" t="s">
        <v>56</v>
      </c>
      <c r="D12" s="2">
        <v>96</v>
      </c>
      <c r="E12" t="s">
        <v>54</v>
      </c>
      <c r="F12" t="s">
        <v>61</v>
      </c>
      <c r="G12">
        <v>0</v>
      </c>
      <c r="H12">
        <v>0.42</v>
      </c>
      <c r="I12">
        <v>9</v>
      </c>
      <c r="J12">
        <v>4</v>
      </c>
      <c r="K12">
        <v>44.44</v>
      </c>
      <c r="L12">
        <v>400</v>
      </c>
      <c r="M12">
        <v>292</v>
      </c>
      <c r="N12">
        <v>73</v>
      </c>
      <c r="O12">
        <v>55.81</v>
      </c>
      <c r="P12">
        <v>153</v>
      </c>
      <c r="Q12">
        <v>38</v>
      </c>
      <c r="R12">
        <v>63</v>
      </c>
      <c r="S12">
        <v>52</v>
      </c>
      <c r="T12">
        <v>83</v>
      </c>
      <c r="U12">
        <v>36</v>
      </c>
      <c r="V12">
        <v>38</v>
      </c>
      <c r="W12">
        <v>9</v>
      </c>
      <c r="X12">
        <v>248</v>
      </c>
      <c r="Y12">
        <v>127</v>
      </c>
      <c r="Z12">
        <v>51.21</v>
      </c>
      <c r="AA12">
        <v>6</v>
      </c>
      <c r="AB12">
        <v>2</v>
      </c>
      <c r="AC12">
        <v>33.33</v>
      </c>
      <c r="AD12">
        <v>31</v>
      </c>
      <c r="AE12">
        <v>3</v>
      </c>
      <c r="AF12">
        <v>9.68</v>
      </c>
      <c r="AG12">
        <v>0</v>
      </c>
      <c r="AH12">
        <v>0</v>
      </c>
      <c r="AI12">
        <v>0</v>
      </c>
      <c r="AJ12">
        <v>34</v>
      </c>
      <c r="AK12">
        <v>5</v>
      </c>
      <c r="AL12">
        <v>14.71</v>
      </c>
      <c r="AM12">
        <v>2</v>
      </c>
      <c r="AN12">
        <v>1</v>
      </c>
      <c r="AO12">
        <v>50</v>
      </c>
      <c r="AP12">
        <v>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8</v>
      </c>
      <c r="AW12">
        <v>2</v>
      </c>
      <c r="AX12">
        <v>25</v>
      </c>
      <c r="AY12">
        <v>2</v>
      </c>
      <c r="AZ12">
        <v>3</v>
      </c>
      <c r="BA12">
        <v>13</v>
      </c>
      <c r="BB12">
        <v>1</v>
      </c>
      <c r="BC12">
        <v>7</v>
      </c>
      <c r="BD12">
        <v>7</v>
      </c>
      <c r="BE12">
        <v>100</v>
      </c>
      <c r="BF12">
        <v>30</v>
      </c>
      <c r="BG12">
        <v>30</v>
      </c>
      <c r="BH12">
        <v>3</v>
      </c>
      <c r="BI12">
        <v>1</v>
      </c>
      <c r="BJ12">
        <v>10</v>
      </c>
      <c r="BK12">
        <v>6</v>
      </c>
      <c r="BL12">
        <v>60</v>
      </c>
      <c r="BM12">
        <v>85</v>
      </c>
      <c r="BN12">
        <v>68</v>
      </c>
      <c r="BO12">
        <v>80</v>
      </c>
      <c r="BP12">
        <v>45</v>
      </c>
      <c r="BQ12">
        <v>20</v>
      </c>
      <c r="BR12">
        <v>44.44</v>
      </c>
      <c r="BS12">
        <v>2</v>
      </c>
      <c r="BT12">
        <v>2</v>
      </c>
      <c r="BU12">
        <v>100</v>
      </c>
      <c r="BV12">
        <v>50</v>
      </c>
      <c r="BW12">
        <v>22</v>
      </c>
      <c r="BX12">
        <v>8</v>
      </c>
      <c r="BY12">
        <v>1</v>
      </c>
      <c r="BZ12">
        <v>0</v>
      </c>
      <c r="CA12">
        <v>166</v>
      </c>
      <c r="CB12">
        <v>97</v>
      </c>
      <c r="CC12">
        <v>58.43</v>
      </c>
      <c r="CD12">
        <v>63</v>
      </c>
      <c r="CE12">
        <v>58</v>
      </c>
      <c r="CF12">
        <v>92.06</v>
      </c>
      <c r="CG12">
        <v>113</v>
      </c>
      <c r="CH12">
        <v>92</v>
      </c>
      <c r="CI12">
        <v>81.42</v>
      </c>
      <c r="CJ12">
        <v>56</v>
      </c>
      <c r="CK12">
        <v>25</v>
      </c>
      <c r="CL12">
        <v>44.64</v>
      </c>
      <c r="CM12">
        <v>39</v>
      </c>
      <c r="CN12">
        <v>19</v>
      </c>
      <c r="CO12">
        <v>48.72</v>
      </c>
      <c r="CP12">
        <v>72</v>
      </c>
      <c r="CQ12">
        <v>32</v>
      </c>
      <c r="CR12">
        <v>44.44</v>
      </c>
      <c r="CS12">
        <v>1</v>
      </c>
      <c r="CT12">
        <v>0</v>
      </c>
      <c r="CU12">
        <v>0</v>
      </c>
      <c r="CV12">
        <v>44</v>
      </c>
      <c r="CW12">
        <v>35</v>
      </c>
      <c r="CX12">
        <v>79.55</v>
      </c>
      <c r="CY12">
        <v>5</v>
      </c>
      <c r="CZ12">
        <v>15.5</v>
      </c>
      <c r="DA12">
        <v>2.76</v>
      </c>
      <c r="DB12">
        <v>14</v>
      </c>
      <c r="DC12">
        <v>22.16</v>
      </c>
      <c r="DD12">
        <v>18.91</v>
      </c>
      <c r="DE12">
        <v>8.5299999999999994</v>
      </c>
    </row>
    <row r="13" spans="1:109" ht="12" customHeight="1" x14ac:dyDescent="0.2">
      <c r="A13" s="2" t="s">
        <v>77</v>
      </c>
      <c r="B13" s="2" t="s">
        <v>78</v>
      </c>
      <c r="C13" s="2" t="s">
        <v>56</v>
      </c>
      <c r="D13" s="2">
        <v>96</v>
      </c>
      <c r="E13" t="s">
        <v>79</v>
      </c>
      <c r="F13" t="s">
        <v>61</v>
      </c>
      <c r="G13">
        <v>1</v>
      </c>
      <c r="H13">
        <v>2.56</v>
      </c>
      <c r="I13">
        <v>10</v>
      </c>
      <c r="J13">
        <v>6</v>
      </c>
      <c r="K13">
        <v>60</v>
      </c>
      <c r="L13">
        <v>339</v>
      </c>
      <c r="M13">
        <v>240</v>
      </c>
      <c r="N13">
        <v>70.8</v>
      </c>
      <c r="O13">
        <v>44.19</v>
      </c>
      <c r="P13">
        <v>144</v>
      </c>
      <c r="Q13">
        <v>20</v>
      </c>
      <c r="R13">
        <v>54</v>
      </c>
      <c r="S13">
        <v>70</v>
      </c>
      <c r="T13">
        <v>100</v>
      </c>
      <c r="U13">
        <v>36</v>
      </c>
      <c r="V13">
        <v>47</v>
      </c>
      <c r="W13">
        <v>17</v>
      </c>
      <c r="X13">
        <v>248</v>
      </c>
      <c r="Y13">
        <v>113</v>
      </c>
      <c r="Z13">
        <v>45.56</v>
      </c>
      <c r="AA13">
        <v>1</v>
      </c>
      <c r="AB13">
        <v>0</v>
      </c>
      <c r="AC13">
        <v>0</v>
      </c>
      <c r="AD13">
        <v>30</v>
      </c>
      <c r="AE13">
        <v>7</v>
      </c>
      <c r="AF13">
        <v>23.33</v>
      </c>
      <c r="AG13">
        <v>0</v>
      </c>
      <c r="AH13">
        <v>0</v>
      </c>
      <c r="AI13">
        <v>0</v>
      </c>
      <c r="AJ13">
        <v>26</v>
      </c>
      <c r="AK13">
        <v>3</v>
      </c>
      <c r="AL13">
        <v>11.54</v>
      </c>
      <c r="AM13">
        <v>8</v>
      </c>
      <c r="AN13">
        <v>1</v>
      </c>
      <c r="AO13">
        <v>12.5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11</v>
      </c>
      <c r="AW13">
        <v>5</v>
      </c>
      <c r="AX13">
        <v>45.45</v>
      </c>
      <c r="AY13">
        <v>4</v>
      </c>
      <c r="AZ13">
        <v>5</v>
      </c>
      <c r="BA13">
        <v>16</v>
      </c>
      <c r="BB13">
        <v>3</v>
      </c>
      <c r="BC13">
        <v>5</v>
      </c>
      <c r="BD13">
        <v>18</v>
      </c>
      <c r="BE13">
        <v>85</v>
      </c>
      <c r="BF13">
        <v>17</v>
      </c>
      <c r="BG13">
        <v>20</v>
      </c>
      <c r="BH13">
        <v>7</v>
      </c>
      <c r="BI13">
        <v>0</v>
      </c>
      <c r="BJ13">
        <v>9</v>
      </c>
      <c r="BK13">
        <v>4</v>
      </c>
      <c r="BL13">
        <v>44.44</v>
      </c>
      <c r="BM13">
        <v>100</v>
      </c>
      <c r="BN13">
        <v>70</v>
      </c>
      <c r="BO13">
        <v>70</v>
      </c>
      <c r="BP13">
        <v>45</v>
      </c>
      <c r="BQ13">
        <v>20</v>
      </c>
      <c r="BR13">
        <v>44.44</v>
      </c>
      <c r="BS13">
        <v>2</v>
      </c>
      <c r="BT13">
        <v>1</v>
      </c>
      <c r="BU13">
        <v>50</v>
      </c>
      <c r="BV13">
        <v>34</v>
      </c>
      <c r="BW13">
        <v>13</v>
      </c>
      <c r="BX13">
        <v>20</v>
      </c>
      <c r="BY13">
        <v>2</v>
      </c>
      <c r="BZ13">
        <v>0</v>
      </c>
      <c r="CA13">
        <v>163</v>
      </c>
      <c r="CB13">
        <v>102</v>
      </c>
      <c r="CC13">
        <v>62.58</v>
      </c>
      <c r="CD13">
        <v>48</v>
      </c>
      <c r="CE13">
        <v>45</v>
      </c>
      <c r="CF13">
        <v>93.75</v>
      </c>
      <c r="CG13">
        <v>83</v>
      </c>
      <c r="CH13">
        <v>66</v>
      </c>
      <c r="CI13">
        <v>79.52</v>
      </c>
      <c r="CJ13">
        <v>54</v>
      </c>
      <c r="CK13">
        <v>29</v>
      </c>
      <c r="CL13">
        <v>53.7</v>
      </c>
      <c r="CM13">
        <v>49</v>
      </c>
      <c r="CN13">
        <v>26</v>
      </c>
      <c r="CO13">
        <v>53.06</v>
      </c>
      <c r="CP13">
        <v>64</v>
      </c>
      <c r="CQ13">
        <v>36</v>
      </c>
      <c r="CR13">
        <v>56.25</v>
      </c>
      <c r="CS13">
        <v>0</v>
      </c>
      <c r="CT13">
        <v>0</v>
      </c>
      <c r="CU13">
        <v>0</v>
      </c>
      <c r="CV13">
        <v>37</v>
      </c>
      <c r="CW13">
        <v>28</v>
      </c>
      <c r="CX13">
        <v>75.680000000000007</v>
      </c>
      <c r="CY13">
        <v>9</v>
      </c>
      <c r="CZ13">
        <v>16.59</v>
      </c>
      <c r="DA13">
        <v>2.59</v>
      </c>
      <c r="DB13">
        <v>15.93</v>
      </c>
      <c r="DC13">
        <v>13.22</v>
      </c>
      <c r="DD13">
        <v>20.2</v>
      </c>
      <c r="DE13">
        <v>7.16</v>
      </c>
    </row>
    <row r="14" spans="1:109" ht="12" customHeight="1" x14ac:dyDescent="0.2">
      <c r="A14" s="2" t="s">
        <v>80</v>
      </c>
      <c r="B14" s="2" t="s">
        <v>81</v>
      </c>
      <c r="C14" s="2" t="s">
        <v>56</v>
      </c>
      <c r="D14" s="2">
        <v>97</v>
      </c>
      <c r="E14" t="s">
        <v>54</v>
      </c>
      <c r="F14" t="s">
        <v>82</v>
      </c>
      <c r="G14">
        <v>2</v>
      </c>
      <c r="H14">
        <v>1.94</v>
      </c>
      <c r="I14">
        <v>11</v>
      </c>
      <c r="J14">
        <v>5</v>
      </c>
      <c r="K14">
        <v>45.45</v>
      </c>
      <c r="L14">
        <v>442</v>
      </c>
      <c r="M14">
        <v>361</v>
      </c>
      <c r="N14">
        <v>81.67</v>
      </c>
      <c r="O14">
        <v>51.24</v>
      </c>
      <c r="P14">
        <v>136</v>
      </c>
      <c r="Q14">
        <v>30</v>
      </c>
      <c r="R14">
        <v>52</v>
      </c>
      <c r="S14">
        <v>54</v>
      </c>
      <c r="T14">
        <v>107</v>
      </c>
      <c r="U14">
        <v>38</v>
      </c>
      <c r="V14">
        <v>39</v>
      </c>
      <c r="W14">
        <v>30</v>
      </c>
      <c r="X14">
        <v>187</v>
      </c>
      <c r="Y14">
        <v>79</v>
      </c>
      <c r="Z14">
        <v>42.25</v>
      </c>
      <c r="AA14">
        <v>3</v>
      </c>
      <c r="AB14">
        <v>1</v>
      </c>
      <c r="AC14">
        <v>33.33</v>
      </c>
      <c r="AD14">
        <v>27</v>
      </c>
      <c r="AE14">
        <v>6</v>
      </c>
      <c r="AF14">
        <v>22.22</v>
      </c>
      <c r="AG14">
        <v>1</v>
      </c>
      <c r="AH14">
        <v>1</v>
      </c>
      <c r="AI14">
        <v>100</v>
      </c>
      <c r="AJ14">
        <v>22</v>
      </c>
      <c r="AK14">
        <v>3</v>
      </c>
      <c r="AL14">
        <v>13.64</v>
      </c>
      <c r="AM14">
        <v>5</v>
      </c>
      <c r="AN14">
        <v>1</v>
      </c>
      <c r="AO14">
        <v>20</v>
      </c>
      <c r="AP14">
        <v>2</v>
      </c>
      <c r="AQ14">
        <v>1</v>
      </c>
      <c r="AR14">
        <v>50</v>
      </c>
      <c r="AS14">
        <v>1</v>
      </c>
      <c r="AT14">
        <v>1</v>
      </c>
      <c r="AU14">
        <v>100</v>
      </c>
      <c r="AV14">
        <v>8</v>
      </c>
      <c r="AW14">
        <v>5</v>
      </c>
      <c r="AX14">
        <v>62.5</v>
      </c>
      <c r="AY14">
        <v>4</v>
      </c>
      <c r="AZ14">
        <v>4</v>
      </c>
      <c r="BA14">
        <v>20</v>
      </c>
      <c r="BB14">
        <v>8</v>
      </c>
      <c r="BC14">
        <v>6</v>
      </c>
      <c r="BD14">
        <v>13</v>
      </c>
      <c r="BE14">
        <v>70</v>
      </c>
      <c r="BF14">
        <v>19</v>
      </c>
      <c r="BG14">
        <v>27.14</v>
      </c>
      <c r="BH14">
        <v>5</v>
      </c>
      <c r="BI14">
        <v>1</v>
      </c>
      <c r="BJ14">
        <v>13</v>
      </c>
      <c r="BK14">
        <v>7</v>
      </c>
      <c r="BL14">
        <v>53.85</v>
      </c>
      <c r="BM14">
        <v>71</v>
      </c>
      <c r="BN14">
        <v>41</v>
      </c>
      <c r="BO14">
        <v>57.75</v>
      </c>
      <c r="BP14">
        <v>26</v>
      </c>
      <c r="BQ14">
        <v>13</v>
      </c>
      <c r="BR14">
        <v>50</v>
      </c>
      <c r="BS14">
        <v>0</v>
      </c>
      <c r="BT14">
        <v>0</v>
      </c>
      <c r="BU14">
        <v>0</v>
      </c>
      <c r="BV14">
        <v>66</v>
      </c>
      <c r="BW14">
        <v>18</v>
      </c>
      <c r="BX14">
        <v>7</v>
      </c>
      <c r="BY14">
        <v>1</v>
      </c>
      <c r="BZ14">
        <v>0</v>
      </c>
      <c r="CA14">
        <v>154</v>
      </c>
      <c r="CB14">
        <v>110</v>
      </c>
      <c r="CC14">
        <v>71.430000000000007</v>
      </c>
      <c r="CD14">
        <v>82</v>
      </c>
      <c r="CE14">
        <v>75</v>
      </c>
      <c r="CF14">
        <v>91.46</v>
      </c>
      <c r="CG14">
        <v>134</v>
      </c>
      <c r="CH14">
        <v>120</v>
      </c>
      <c r="CI14">
        <v>89.55</v>
      </c>
      <c r="CJ14">
        <v>38</v>
      </c>
      <c r="CK14">
        <v>15</v>
      </c>
      <c r="CL14">
        <v>39.47</v>
      </c>
      <c r="CM14">
        <v>40</v>
      </c>
      <c r="CN14">
        <v>24</v>
      </c>
      <c r="CO14">
        <v>60</v>
      </c>
      <c r="CP14">
        <v>63</v>
      </c>
      <c r="CQ14">
        <v>39</v>
      </c>
      <c r="CR14">
        <v>61.9</v>
      </c>
      <c r="CS14">
        <v>2</v>
      </c>
      <c r="CT14">
        <v>0</v>
      </c>
      <c r="CU14">
        <v>0</v>
      </c>
      <c r="CV14">
        <v>18</v>
      </c>
      <c r="CW14">
        <v>12</v>
      </c>
      <c r="CX14">
        <v>66.67</v>
      </c>
      <c r="CY14">
        <v>5</v>
      </c>
      <c r="CZ14">
        <v>15.38</v>
      </c>
      <c r="DA14">
        <v>4.13</v>
      </c>
      <c r="DB14">
        <v>8.6</v>
      </c>
      <c r="DC14">
        <v>17.12</v>
      </c>
      <c r="DD14">
        <v>17.670000000000002</v>
      </c>
      <c r="DE14">
        <v>9.26</v>
      </c>
    </row>
    <row r="15" spans="1:109" ht="12" customHeight="1" x14ac:dyDescent="0.2">
      <c r="A15" s="2" t="s">
        <v>80</v>
      </c>
      <c r="B15" s="2" t="s">
        <v>81</v>
      </c>
      <c r="C15" s="2" t="s">
        <v>56</v>
      </c>
      <c r="D15" s="2">
        <v>97</v>
      </c>
      <c r="E15" t="s">
        <v>83</v>
      </c>
      <c r="F15" t="s">
        <v>76</v>
      </c>
      <c r="G15">
        <v>1</v>
      </c>
      <c r="H15">
        <v>2.74</v>
      </c>
      <c r="I15">
        <v>13</v>
      </c>
      <c r="J15">
        <v>7</v>
      </c>
      <c r="K15">
        <v>53.85</v>
      </c>
      <c r="L15">
        <v>479</v>
      </c>
      <c r="M15">
        <v>358</v>
      </c>
      <c r="N15">
        <v>74.739999999999995</v>
      </c>
      <c r="O15">
        <v>48.76</v>
      </c>
      <c r="P15">
        <v>152</v>
      </c>
      <c r="Q15">
        <v>36</v>
      </c>
      <c r="R15">
        <v>62</v>
      </c>
      <c r="S15">
        <v>54</v>
      </c>
      <c r="T15">
        <v>93</v>
      </c>
      <c r="U15">
        <v>40</v>
      </c>
      <c r="V15">
        <v>40</v>
      </c>
      <c r="W15">
        <v>13</v>
      </c>
      <c r="X15">
        <v>187</v>
      </c>
      <c r="Y15">
        <v>101</v>
      </c>
      <c r="Z15">
        <v>54.01</v>
      </c>
      <c r="AA15">
        <v>2</v>
      </c>
      <c r="AB15">
        <v>0</v>
      </c>
      <c r="AC15">
        <v>0</v>
      </c>
      <c r="AD15">
        <v>24</v>
      </c>
      <c r="AE15">
        <v>4</v>
      </c>
      <c r="AF15">
        <v>16.670000000000002</v>
      </c>
      <c r="AG15">
        <v>1</v>
      </c>
      <c r="AH15">
        <v>1</v>
      </c>
      <c r="AI15">
        <v>100</v>
      </c>
      <c r="AJ15">
        <v>31</v>
      </c>
      <c r="AK15">
        <v>8</v>
      </c>
      <c r="AL15">
        <v>25.81</v>
      </c>
      <c r="AM15">
        <v>9</v>
      </c>
      <c r="AN15">
        <v>4</v>
      </c>
      <c r="AO15">
        <v>44.44</v>
      </c>
      <c r="AP15">
        <v>1</v>
      </c>
      <c r="AQ15">
        <v>1</v>
      </c>
      <c r="AR15">
        <v>100</v>
      </c>
      <c r="AS15">
        <v>0</v>
      </c>
      <c r="AT15">
        <v>0</v>
      </c>
      <c r="AU15">
        <v>0</v>
      </c>
      <c r="AV15">
        <v>12</v>
      </c>
      <c r="AW15">
        <v>3</v>
      </c>
      <c r="AX15">
        <v>25</v>
      </c>
      <c r="AY15">
        <v>3</v>
      </c>
      <c r="AZ15">
        <v>5</v>
      </c>
      <c r="BA15">
        <v>17</v>
      </c>
      <c r="BB15">
        <v>6</v>
      </c>
      <c r="BC15">
        <v>3</v>
      </c>
      <c r="BD15">
        <v>23</v>
      </c>
      <c r="BE15">
        <v>71</v>
      </c>
      <c r="BF15">
        <v>30</v>
      </c>
      <c r="BG15">
        <v>42.25</v>
      </c>
      <c r="BH15">
        <v>4</v>
      </c>
      <c r="BI15">
        <v>2</v>
      </c>
      <c r="BJ15">
        <v>11</v>
      </c>
      <c r="BK15">
        <v>5</v>
      </c>
      <c r="BL15">
        <v>45.45</v>
      </c>
      <c r="BM15">
        <v>70</v>
      </c>
      <c r="BN15">
        <v>51</v>
      </c>
      <c r="BO15">
        <v>72.86</v>
      </c>
      <c r="BP15">
        <v>26</v>
      </c>
      <c r="BQ15">
        <v>8</v>
      </c>
      <c r="BR15">
        <v>30.77</v>
      </c>
      <c r="BS15">
        <v>2</v>
      </c>
      <c r="BT15">
        <v>2</v>
      </c>
      <c r="BU15">
        <v>100</v>
      </c>
      <c r="BV15">
        <v>39</v>
      </c>
      <c r="BW15">
        <v>10</v>
      </c>
      <c r="BX15">
        <v>8</v>
      </c>
      <c r="BY15">
        <v>0</v>
      </c>
      <c r="BZ15">
        <v>0</v>
      </c>
      <c r="CA15">
        <v>175</v>
      </c>
      <c r="CB15">
        <v>108</v>
      </c>
      <c r="CC15">
        <v>61.71</v>
      </c>
      <c r="CD15">
        <v>73</v>
      </c>
      <c r="CE15">
        <v>66</v>
      </c>
      <c r="CF15">
        <v>90.41</v>
      </c>
      <c r="CG15">
        <v>152</v>
      </c>
      <c r="CH15">
        <v>133</v>
      </c>
      <c r="CI15">
        <v>87.5</v>
      </c>
      <c r="CJ15">
        <v>48</v>
      </c>
      <c r="CK15">
        <v>29</v>
      </c>
      <c r="CL15">
        <v>60.42</v>
      </c>
      <c r="CM15">
        <v>41</v>
      </c>
      <c r="CN15">
        <v>19</v>
      </c>
      <c r="CO15">
        <v>46.34</v>
      </c>
      <c r="CP15">
        <v>87</v>
      </c>
      <c r="CQ15">
        <v>38</v>
      </c>
      <c r="CR15">
        <v>43.68</v>
      </c>
      <c r="CS15">
        <v>2</v>
      </c>
      <c r="CT15">
        <v>0</v>
      </c>
      <c r="CU15">
        <v>0</v>
      </c>
      <c r="CV15">
        <v>28</v>
      </c>
      <c r="CW15">
        <v>27</v>
      </c>
      <c r="CX15">
        <v>96.43</v>
      </c>
      <c r="CY15">
        <v>10</v>
      </c>
      <c r="CZ15">
        <v>17.52</v>
      </c>
      <c r="DA15">
        <v>4.0599999999999996</v>
      </c>
      <c r="DB15">
        <v>10.02</v>
      </c>
      <c r="DC15">
        <v>13.03</v>
      </c>
      <c r="DD15">
        <v>17.57</v>
      </c>
      <c r="DE15">
        <v>10.77</v>
      </c>
    </row>
    <row r="16" spans="1:109" ht="12" customHeight="1" x14ac:dyDescent="0.2">
      <c r="A16" s="2" t="s">
        <v>84</v>
      </c>
      <c r="B16" s="2" t="s">
        <v>85</v>
      </c>
      <c r="C16" s="2" t="s">
        <v>56</v>
      </c>
      <c r="D16" s="2">
        <v>97</v>
      </c>
      <c r="E16" t="s">
        <v>54</v>
      </c>
      <c r="F16" t="s">
        <v>86</v>
      </c>
      <c r="G16">
        <v>1</v>
      </c>
      <c r="H16">
        <v>1.79</v>
      </c>
      <c r="I16">
        <v>10</v>
      </c>
      <c r="J16">
        <v>7</v>
      </c>
      <c r="K16">
        <v>70</v>
      </c>
      <c r="L16">
        <v>342</v>
      </c>
      <c r="M16">
        <v>269</v>
      </c>
      <c r="N16">
        <v>78.650000000000006</v>
      </c>
      <c r="O16">
        <v>44.77</v>
      </c>
      <c r="P16">
        <v>124</v>
      </c>
      <c r="Q16">
        <v>38</v>
      </c>
      <c r="R16">
        <v>49</v>
      </c>
      <c r="S16">
        <v>37</v>
      </c>
      <c r="T16">
        <v>85</v>
      </c>
      <c r="U16">
        <v>53</v>
      </c>
      <c r="V16">
        <v>26</v>
      </c>
      <c r="W16">
        <v>6</v>
      </c>
      <c r="X16">
        <v>202</v>
      </c>
      <c r="Y16">
        <v>84</v>
      </c>
      <c r="Z16">
        <v>41.58</v>
      </c>
      <c r="AA16">
        <v>3</v>
      </c>
      <c r="AB16">
        <v>3</v>
      </c>
      <c r="AC16">
        <v>100</v>
      </c>
      <c r="AD16">
        <v>20</v>
      </c>
      <c r="AE16">
        <v>5</v>
      </c>
      <c r="AF16">
        <v>25</v>
      </c>
      <c r="AG16">
        <v>2</v>
      </c>
      <c r="AH16">
        <v>1</v>
      </c>
      <c r="AI16">
        <v>50</v>
      </c>
      <c r="AJ16">
        <v>21</v>
      </c>
      <c r="AK16">
        <v>3</v>
      </c>
      <c r="AL16">
        <v>14.29</v>
      </c>
      <c r="AM16">
        <v>2</v>
      </c>
      <c r="AN16">
        <v>1</v>
      </c>
      <c r="AO16">
        <v>50</v>
      </c>
      <c r="AP16">
        <v>2</v>
      </c>
      <c r="AQ16">
        <v>1</v>
      </c>
      <c r="AR16">
        <v>50</v>
      </c>
      <c r="AS16">
        <v>1</v>
      </c>
      <c r="AT16">
        <v>1</v>
      </c>
      <c r="AU16">
        <v>100</v>
      </c>
      <c r="AV16">
        <v>5</v>
      </c>
      <c r="AW16">
        <v>2</v>
      </c>
      <c r="AX16">
        <v>40</v>
      </c>
      <c r="AY16">
        <v>2</v>
      </c>
      <c r="AZ16">
        <v>6</v>
      </c>
      <c r="BA16">
        <v>15</v>
      </c>
      <c r="BB16">
        <v>2</v>
      </c>
      <c r="BC16">
        <v>4</v>
      </c>
      <c r="BD16">
        <v>10</v>
      </c>
      <c r="BE16">
        <v>71</v>
      </c>
      <c r="BF16">
        <v>18</v>
      </c>
      <c r="BG16">
        <v>25.35</v>
      </c>
      <c r="BH16">
        <v>1</v>
      </c>
      <c r="BI16">
        <v>2</v>
      </c>
      <c r="BJ16">
        <v>17</v>
      </c>
      <c r="BK16">
        <v>7</v>
      </c>
      <c r="BL16">
        <v>41.18</v>
      </c>
      <c r="BM16">
        <v>81</v>
      </c>
      <c r="BN16">
        <v>44</v>
      </c>
      <c r="BO16">
        <v>54.32</v>
      </c>
      <c r="BP16">
        <v>23</v>
      </c>
      <c r="BQ16">
        <v>11</v>
      </c>
      <c r="BR16">
        <v>47.83</v>
      </c>
      <c r="BS16">
        <v>7</v>
      </c>
      <c r="BT16">
        <v>3</v>
      </c>
      <c r="BU16">
        <v>42.86</v>
      </c>
      <c r="BV16">
        <v>47</v>
      </c>
      <c r="BW16">
        <v>27</v>
      </c>
      <c r="BX16">
        <v>9</v>
      </c>
      <c r="BY16">
        <v>2</v>
      </c>
      <c r="BZ16">
        <v>1</v>
      </c>
      <c r="CA16">
        <v>130</v>
      </c>
      <c r="CB16">
        <v>85</v>
      </c>
      <c r="CC16">
        <v>65.38</v>
      </c>
      <c r="CD16">
        <v>71</v>
      </c>
      <c r="CE16">
        <v>63</v>
      </c>
      <c r="CF16">
        <v>88.73</v>
      </c>
      <c r="CG16">
        <v>93</v>
      </c>
      <c r="CH16">
        <v>82</v>
      </c>
      <c r="CI16">
        <v>88.17</v>
      </c>
      <c r="CJ16">
        <v>50</v>
      </c>
      <c r="CK16">
        <v>28</v>
      </c>
      <c r="CL16">
        <v>56</v>
      </c>
      <c r="CM16">
        <v>36</v>
      </c>
      <c r="CN16">
        <v>18</v>
      </c>
      <c r="CO16">
        <v>50</v>
      </c>
      <c r="CP16">
        <v>71</v>
      </c>
      <c r="CQ16">
        <v>36</v>
      </c>
      <c r="CR16">
        <v>50.7</v>
      </c>
      <c r="CS16">
        <v>3</v>
      </c>
      <c r="CT16">
        <v>3</v>
      </c>
      <c r="CU16">
        <v>100</v>
      </c>
      <c r="CV16">
        <v>26</v>
      </c>
      <c r="CW16">
        <v>22</v>
      </c>
      <c r="CX16">
        <v>84.62</v>
      </c>
      <c r="CY16">
        <v>7</v>
      </c>
      <c r="CZ16">
        <v>14.44</v>
      </c>
      <c r="DA16">
        <v>3.05</v>
      </c>
      <c r="DB16">
        <v>14.62</v>
      </c>
      <c r="DC16">
        <v>17.350000000000001</v>
      </c>
      <c r="DD16">
        <v>19.079999999999998</v>
      </c>
      <c r="DE16">
        <v>14.22</v>
      </c>
    </row>
    <row r="17" spans="1:109" ht="12" customHeight="1" x14ac:dyDescent="0.2">
      <c r="A17" s="2" t="s">
        <v>84</v>
      </c>
      <c r="B17" s="2" t="s">
        <v>85</v>
      </c>
      <c r="C17" s="2" t="s">
        <v>56</v>
      </c>
      <c r="D17" s="2">
        <v>97</v>
      </c>
      <c r="E17" t="s">
        <v>87</v>
      </c>
      <c r="F17" t="s">
        <v>76</v>
      </c>
      <c r="G17">
        <v>2</v>
      </c>
      <c r="H17">
        <v>2.09</v>
      </c>
      <c r="I17">
        <v>17</v>
      </c>
      <c r="J17">
        <v>7</v>
      </c>
      <c r="K17">
        <v>41.18</v>
      </c>
      <c r="L17">
        <v>474</v>
      </c>
      <c r="M17">
        <v>379</v>
      </c>
      <c r="N17">
        <v>79.959999999999994</v>
      </c>
      <c r="O17">
        <v>55.23</v>
      </c>
      <c r="P17">
        <v>116</v>
      </c>
      <c r="Q17">
        <v>11</v>
      </c>
      <c r="R17">
        <v>29</v>
      </c>
      <c r="S17">
        <v>76</v>
      </c>
      <c r="T17">
        <v>74</v>
      </c>
      <c r="U17">
        <v>21</v>
      </c>
      <c r="V17">
        <v>36</v>
      </c>
      <c r="W17">
        <v>17</v>
      </c>
      <c r="X17">
        <v>202</v>
      </c>
      <c r="Y17">
        <v>110</v>
      </c>
      <c r="Z17">
        <v>54.46</v>
      </c>
      <c r="AA17">
        <v>7</v>
      </c>
      <c r="AB17">
        <v>4</v>
      </c>
      <c r="AC17">
        <v>57.14</v>
      </c>
      <c r="AD17">
        <v>49</v>
      </c>
      <c r="AE17">
        <v>13</v>
      </c>
      <c r="AF17">
        <v>26.53</v>
      </c>
      <c r="AG17">
        <v>2</v>
      </c>
      <c r="AH17">
        <v>1</v>
      </c>
      <c r="AI17">
        <v>50</v>
      </c>
      <c r="AJ17">
        <v>17</v>
      </c>
      <c r="AK17">
        <v>3</v>
      </c>
      <c r="AL17">
        <v>17.649999999999999</v>
      </c>
      <c r="AM17">
        <v>5</v>
      </c>
      <c r="AN17">
        <v>1</v>
      </c>
      <c r="AO17">
        <v>20</v>
      </c>
      <c r="AP17">
        <v>2</v>
      </c>
      <c r="AQ17">
        <v>2</v>
      </c>
      <c r="AR17">
        <v>100</v>
      </c>
      <c r="AS17">
        <v>0</v>
      </c>
      <c r="AT17">
        <v>0</v>
      </c>
      <c r="AU17">
        <v>0</v>
      </c>
      <c r="AV17">
        <v>25</v>
      </c>
      <c r="AW17">
        <v>8</v>
      </c>
      <c r="AX17">
        <v>32</v>
      </c>
      <c r="AY17">
        <v>7</v>
      </c>
      <c r="AZ17">
        <v>3</v>
      </c>
      <c r="BA17">
        <v>38</v>
      </c>
      <c r="BB17">
        <v>9</v>
      </c>
      <c r="BC17">
        <v>17</v>
      </c>
      <c r="BD17">
        <v>21</v>
      </c>
      <c r="BE17">
        <v>81</v>
      </c>
      <c r="BF17">
        <v>37</v>
      </c>
      <c r="BG17">
        <v>45.68</v>
      </c>
      <c r="BH17">
        <v>3</v>
      </c>
      <c r="BI17">
        <v>1</v>
      </c>
      <c r="BJ17">
        <v>10</v>
      </c>
      <c r="BK17">
        <v>7</v>
      </c>
      <c r="BL17">
        <v>70</v>
      </c>
      <c r="BM17">
        <v>71</v>
      </c>
      <c r="BN17">
        <v>53</v>
      </c>
      <c r="BO17">
        <v>74.650000000000006</v>
      </c>
      <c r="BP17">
        <v>23</v>
      </c>
      <c r="BQ17">
        <v>8</v>
      </c>
      <c r="BR17">
        <v>34.78</v>
      </c>
      <c r="BS17">
        <v>0</v>
      </c>
      <c r="BT17">
        <v>0</v>
      </c>
      <c r="BU17">
        <v>0</v>
      </c>
      <c r="BV17">
        <v>23</v>
      </c>
      <c r="BW17">
        <v>17</v>
      </c>
      <c r="BX17">
        <v>9</v>
      </c>
      <c r="BY17">
        <v>0</v>
      </c>
      <c r="BZ17">
        <v>0</v>
      </c>
      <c r="CA17">
        <v>165</v>
      </c>
      <c r="CB17">
        <v>121</v>
      </c>
      <c r="CC17">
        <v>73.33</v>
      </c>
      <c r="CD17">
        <v>73</v>
      </c>
      <c r="CE17">
        <v>68</v>
      </c>
      <c r="CF17">
        <v>93.15</v>
      </c>
      <c r="CG17">
        <v>169</v>
      </c>
      <c r="CH17">
        <v>141</v>
      </c>
      <c r="CI17">
        <v>83.43</v>
      </c>
      <c r="CJ17">
        <v>49</v>
      </c>
      <c r="CK17">
        <v>23</v>
      </c>
      <c r="CL17">
        <v>46.94</v>
      </c>
      <c r="CM17">
        <v>53</v>
      </c>
      <c r="CN17">
        <v>35</v>
      </c>
      <c r="CO17">
        <v>66.040000000000006</v>
      </c>
      <c r="CP17">
        <v>77</v>
      </c>
      <c r="CQ17">
        <v>58</v>
      </c>
      <c r="CR17">
        <v>75.319999999999993</v>
      </c>
      <c r="CS17">
        <v>3</v>
      </c>
      <c r="CT17">
        <v>0</v>
      </c>
      <c r="CU17">
        <v>0</v>
      </c>
      <c r="CV17">
        <v>31</v>
      </c>
      <c r="CW17">
        <v>29</v>
      </c>
      <c r="CX17">
        <v>93.55</v>
      </c>
      <c r="CY17">
        <v>2</v>
      </c>
      <c r="CZ17">
        <v>16.22</v>
      </c>
      <c r="DA17">
        <v>4.0199999999999996</v>
      </c>
      <c r="DB17">
        <v>10.34</v>
      </c>
      <c r="DC17">
        <v>18.16</v>
      </c>
      <c r="DD17">
        <v>18.97</v>
      </c>
      <c r="DE17">
        <v>8.65</v>
      </c>
    </row>
    <row r="18" spans="1:109" ht="12" customHeight="1" x14ac:dyDescent="0.2">
      <c r="A18" s="2" t="s">
        <v>88</v>
      </c>
      <c r="B18" s="2" t="s">
        <v>89</v>
      </c>
      <c r="C18" s="2" t="s">
        <v>56</v>
      </c>
      <c r="D18" s="2">
        <v>95</v>
      </c>
      <c r="E18" t="s">
        <v>54</v>
      </c>
      <c r="F18" t="s">
        <v>61</v>
      </c>
      <c r="G18">
        <v>1</v>
      </c>
      <c r="H18">
        <v>2.2599999999999998</v>
      </c>
      <c r="I18">
        <v>11</v>
      </c>
      <c r="J18">
        <v>3</v>
      </c>
      <c r="K18">
        <v>27.27</v>
      </c>
      <c r="L18">
        <v>475</v>
      </c>
      <c r="M18">
        <v>394</v>
      </c>
      <c r="N18">
        <v>82.95</v>
      </c>
      <c r="O18">
        <v>56.4</v>
      </c>
      <c r="P18">
        <v>127</v>
      </c>
      <c r="Q18">
        <v>23</v>
      </c>
      <c r="R18">
        <v>50</v>
      </c>
      <c r="S18">
        <v>54</v>
      </c>
      <c r="T18">
        <v>89</v>
      </c>
      <c r="U18">
        <v>30</v>
      </c>
      <c r="V18">
        <v>46</v>
      </c>
      <c r="W18">
        <v>13</v>
      </c>
      <c r="X18">
        <v>200</v>
      </c>
      <c r="Y18">
        <v>87</v>
      </c>
      <c r="Z18">
        <v>43.5</v>
      </c>
      <c r="AA18">
        <v>4</v>
      </c>
      <c r="AB18">
        <v>1</v>
      </c>
      <c r="AC18">
        <v>25</v>
      </c>
      <c r="AD18">
        <v>25</v>
      </c>
      <c r="AE18">
        <v>3</v>
      </c>
      <c r="AF18">
        <v>12</v>
      </c>
      <c r="AG18">
        <v>1</v>
      </c>
      <c r="AH18">
        <v>1</v>
      </c>
      <c r="AI18">
        <v>100</v>
      </c>
      <c r="AJ18">
        <v>25</v>
      </c>
      <c r="AK18">
        <v>6</v>
      </c>
      <c r="AL18">
        <v>24</v>
      </c>
      <c r="AM18">
        <v>5</v>
      </c>
      <c r="AN18">
        <v>3</v>
      </c>
      <c r="AO18">
        <v>60</v>
      </c>
      <c r="AP18">
        <v>5</v>
      </c>
      <c r="AQ18">
        <v>2</v>
      </c>
      <c r="AR18">
        <v>40</v>
      </c>
      <c r="AS18">
        <v>0</v>
      </c>
      <c r="AT18">
        <v>0</v>
      </c>
      <c r="AU18">
        <v>0</v>
      </c>
      <c r="AV18">
        <v>11</v>
      </c>
      <c r="AW18">
        <v>4</v>
      </c>
      <c r="AX18">
        <v>36.36</v>
      </c>
      <c r="AY18">
        <v>3</v>
      </c>
      <c r="AZ18">
        <v>8</v>
      </c>
      <c r="BA18">
        <v>20</v>
      </c>
      <c r="BB18">
        <v>1</v>
      </c>
      <c r="BC18">
        <v>9</v>
      </c>
      <c r="BD18">
        <v>17</v>
      </c>
      <c r="BE18">
        <v>93</v>
      </c>
      <c r="BF18">
        <v>28</v>
      </c>
      <c r="BG18">
        <v>30.11</v>
      </c>
      <c r="BH18">
        <v>3</v>
      </c>
      <c r="BI18">
        <v>0</v>
      </c>
      <c r="BJ18">
        <v>7</v>
      </c>
      <c r="BK18">
        <v>2</v>
      </c>
      <c r="BL18">
        <v>28.57</v>
      </c>
      <c r="BM18">
        <v>71</v>
      </c>
      <c r="BN18">
        <v>41</v>
      </c>
      <c r="BO18">
        <v>57.75</v>
      </c>
      <c r="BP18">
        <v>15</v>
      </c>
      <c r="BQ18">
        <v>12</v>
      </c>
      <c r="BR18">
        <v>80</v>
      </c>
      <c r="BS18">
        <v>5</v>
      </c>
      <c r="BT18">
        <v>1</v>
      </c>
      <c r="BU18">
        <v>20</v>
      </c>
      <c r="BV18">
        <v>42</v>
      </c>
      <c r="BW18">
        <v>25</v>
      </c>
      <c r="BX18">
        <v>16</v>
      </c>
      <c r="BY18">
        <v>2</v>
      </c>
      <c r="BZ18">
        <v>0</v>
      </c>
      <c r="CA18">
        <v>152</v>
      </c>
      <c r="CB18">
        <v>110</v>
      </c>
      <c r="CC18">
        <v>72.37</v>
      </c>
      <c r="CD18">
        <v>83</v>
      </c>
      <c r="CE18">
        <v>77</v>
      </c>
      <c r="CF18">
        <v>92.77</v>
      </c>
      <c r="CG18">
        <v>171</v>
      </c>
      <c r="CH18">
        <v>150</v>
      </c>
      <c r="CI18">
        <v>87.72</v>
      </c>
      <c r="CJ18">
        <v>45</v>
      </c>
      <c r="CK18">
        <v>25</v>
      </c>
      <c r="CL18">
        <v>55.56</v>
      </c>
      <c r="CM18">
        <v>51</v>
      </c>
      <c r="CN18">
        <v>27</v>
      </c>
      <c r="CO18">
        <v>52.94</v>
      </c>
      <c r="CP18">
        <v>73</v>
      </c>
      <c r="CQ18">
        <v>50</v>
      </c>
      <c r="CR18">
        <v>68.489999999999995</v>
      </c>
      <c r="CS18">
        <v>2</v>
      </c>
      <c r="CT18">
        <v>0</v>
      </c>
      <c r="CU18">
        <v>0</v>
      </c>
      <c r="CV18">
        <v>29</v>
      </c>
      <c r="CW18">
        <v>20</v>
      </c>
      <c r="CX18">
        <v>68.97</v>
      </c>
      <c r="CY18">
        <v>5</v>
      </c>
      <c r="CZ18">
        <v>15.62</v>
      </c>
      <c r="DA18">
        <v>3.68</v>
      </c>
      <c r="DB18">
        <v>9.4700000000000006</v>
      </c>
      <c r="DC18">
        <v>14.26</v>
      </c>
      <c r="DD18">
        <v>18.399999999999999</v>
      </c>
      <c r="DE18">
        <v>5.33</v>
      </c>
    </row>
    <row r="19" spans="1:109" ht="12" customHeight="1" x14ac:dyDescent="0.2">
      <c r="A19" s="2" t="s">
        <v>88</v>
      </c>
      <c r="B19" s="2" t="s">
        <v>89</v>
      </c>
      <c r="C19" s="2" t="s">
        <v>56</v>
      </c>
      <c r="D19" s="2">
        <v>95</v>
      </c>
      <c r="E19" t="s">
        <v>90</v>
      </c>
      <c r="F19" t="s">
        <v>76</v>
      </c>
      <c r="G19">
        <v>0</v>
      </c>
      <c r="H19">
        <v>0.92</v>
      </c>
      <c r="I19">
        <v>7</v>
      </c>
      <c r="J19">
        <v>2</v>
      </c>
      <c r="K19">
        <v>28.57</v>
      </c>
      <c r="L19">
        <v>333</v>
      </c>
      <c r="M19">
        <v>247</v>
      </c>
      <c r="N19">
        <v>74.17</v>
      </c>
      <c r="O19">
        <v>43.6</v>
      </c>
      <c r="P19">
        <v>132</v>
      </c>
      <c r="Q19">
        <v>23</v>
      </c>
      <c r="R19">
        <v>63</v>
      </c>
      <c r="S19">
        <v>46</v>
      </c>
      <c r="T19">
        <v>86</v>
      </c>
      <c r="U19">
        <v>35</v>
      </c>
      <c r="V19">
        <v>31</v>
      </c>
      <c r="W19">
        <v>20</v>
      </c>
      <c r="X19">
        <v>200</v>
      </c>
      <c r="Y19">
        <v>108</v>
      </c>
      <c r="Z19">
        <v>54</v>
      </c>
      <c r="AA19">
        <v>0</v>
      </c>
      <c r="AB19">
        <v>0</v>
      </c>
      <c r="AC19">
        <v>0</v>
      </c>
      <c r="AD19">
        <v>26</v>
      </c>
      <c r="AE19">
        <v>3</v>
      </c>
      <c r="AF19">
        <v>11.54</v>
      </c>
      <c r="AG19">
        <v>3</v>
      </c>
      <c r="AH19">
        <v>1</v>
      </c>
      <c r="AI19">
        <v>33.33</v>
      </c>
      <c r="AJ19">
        <v>30</v>
      </c>
      <c r="AK19">
        <v>4</v>
      </c>
      <c r="AL19">
        <v>13.33</v>
      </c>
      <c r="AM19">
        <v>3</v>
      </c>
      <c r="AN19">
        <v>0</v>
      </c>
      <c r="AO19">
        <v>0</v>
      </c>
      <c r="AP19">
        <v>2</v>
      </c>
      <c r="AQ19">
        <v>1</v>
      </c>
      <c r="AR19">
        <v>50</v>
      </c>
      <c r="AS19">
        <v>0</v>
      </c>
      <c r="AT19">
        <v>0</v>
      </c>
      <c r="AU19">
        <v>0</v>
      </c>
      <c r="AV19">
        <v>17</v>
      </c>
      <c r="AW19">
        <v>6</v>
      </c>
      <c r="AX19">
        <v>35.29</v>
      </c>
      <c r="AY19">
        <v>6</v>
      </c>
      <c r="AZ19">
        <v>5</v>
      </c>
      <c r="BA19">
        <v>27</v>
      </c>
      <c r="BB19">
        <v>4</v>
      </c>
      <c r="BC19">
        <v>12</v>
      </c>
      <c r="BD19">
        <v>14</v>
      </c>
      <c r="BE19">
        <v>71</v>
      </c>
      <c r="BF19">
        <v>30</v>
      </c>
      <c r="BG19">
        <v>42.25</v>
      </c>
      <c r="BH19">
        <v>1</v>
      </c>
      <c r="BI19">
        <v>1</v>
      </c>
      <c r="BJ19">
        <v>11</v>
      </c>
      <c r="BK19">
        <v>3</v>
      </c>
      <c r="BL19">
        <v>27.27</v>
      </c>
      <c r="BM19">
        <v>93</v>
      </c>
      <c r="BN19">
        <v>65</v>
      </c>
      <c r="BO19">
        <v>69.89</v>
      </c>
      <c r="BP19">
        <v>15</v>
      </c>
      <c r="BQ19">
        <v>3</v>
      </c>
      <c r="BR19">
        <v>20</v>
      </c>
      <c r="BS19">
        <v>6</v>
      </c>
      <c r="BT19">
        <v>4</v>
      </c>
      <c r="BU19">
        <v>66.67</v>
      </c>
      <c r="BV19">
        <v>45</v>
      </c>
      <c r="BW19">
        <v>17</v>
      </c>
      <c r="BX19">
        <v>14</v>
      </c>
      <c r="BY19">
        <v>2</v>
      </c>
      <c r="BZ19">
        <v>0</v>
      </c>
      <c r="CA19">
        <v>147</v>
      </c>
      <c r="CB19">
        <v>86</v>
      </c>
      <c r="CC19">
        <v>58.5</v>
      </c>
      <c r="CD19">
        <v>40</v>
      </c>
      <c r="CE19">
        <v>35</v>
      </c>
      <c r="CF19">
        <v>87.5</v>
      </c>
      <c r="CG19">
        <v>86</v>
      </c>
      <c r="CH19">
        <v>74</v>
      </c>
      <c r="CI19">
        <v>86.05</v>
      </c>
      <c r="CJ19">
        <v>38</v>
      </c>
      <c r="CK19">
        <v>12</v>
      </c>
      <c r="CL19">
        <v>31.58</v>
      </c>
      <c r="CM19">
        <v>35</v>
      </c>
      <c r="CN19">
        <v>17</v>
      </c>
      <c r="CO19">
        <v>48.57</v>
      </c>
      <c r="CP19">
        <v>53</v>
      </c>
      <c r="CQ19">
        <v>29</v>
      </c>
      <c r="CR19">
        <v>54.72</v>
      </c>
      <c r="CS19">
        <v>3</v>
      </c>
      <c r="CT19">
        <v>0</v>
      </c>
      <c r="CU19">
        <v>0</v>
      </c>
      <c r="CV19">
        <v>28</v>
      </c>
      <c r="CW19">
        <v>22</v>
      </c>
      <c r="CX19">
        <v>78.569999999999993</v>
      </c>
      <c r="CY19">
        <v>10</v>
      </c>
      <c r="CZ19">
        <v>14.16</v>
      </c>
      <c r="DA19">
        <v>2.73</v>
      </c>
      <c r="DB19">
        <v>11.41</v>
      </c>
      <c r="DC19">
        <v>14.9</v>
      </c>
      <c r="DD19">
        <v>17.989999999999998</v>
      </c>
      <c r="DE19">
        <v>11.26</v>
      </c>
    </row>
    <row r="20" spans="1:109" ht="12" customHeight="1" x14ac:dyDescent="0.2">
      <c r="A20" s="2" t="s">
        <v>91</v>
      </c>
      <c r="B20" s="2" t="s">
        <v>92</v>
      </c>
      <c r="C20" s="2" t="s">
        <v>56</v>
      </c>
      <c r="D20" s="2">
        <v>97</v>
      </c>
      <c r="E20" t="s">
        <v>54</v>
      </c>
      <c r="F20" t="s">
        <v>93</v>
      </c>
      <c r="G20">
        <v>0</v>
      </c>
      <c r="H20">
        <v>0.85</v>
      </c>
      <c r="I20">
        <v>12</v>
      </c>
      <c r="J20">
        <v>5</v>
      </c>
      <c r="K20">
        <v>41.67</v>
      </c>
      <c r="L20">
        <v>520</v>
      </c>
      <c r="M20">
        <v>440</v>
      </c>
      <c r="N20">
        <v>84.62</v>
      </c>
      <c r="O20">
        <v>58.25</v>
      </c>
      <c r="P20">
        <v>127</v>
      </c>
      <c r="Q20">
        <v>24</v>
      </c>
      <c r="R20">
        <v>51</v>
      </c>
      <c r="S20">
        <v>52</v>
      </c>
      <c r="T20">
        <v>88</v>
      </c>
      <c r="U20">
        <v>38</v>
      </c>
      <c r="V20">
        <v>41</v>
      </c>
      <c r="W20">
        <v>9</v>
      </c>
      <c r="X20">
        <v>211</v>
      </c>
      <c r="Y20">
        <v>96</v>
      </c>
      <c r="Z20">
        <v>45.5</v>
      </c>
      <c r="AA20">
        <v>8</v>
      </c>
      <c r="AB20">
        <v>3</v>
      </c>
      <c r="AC20">
        <v>37.5</v>
      </c>
      <c r="AD20">
        <v>30</v>
      </c>
      <c r="AE20">
        <v>7</v>
      </c>
      <c r="AF20">
        <v>23.33</v>
      </c>
      <c r="AG20">
        <v>1</v>
      </c>
      <c r="AH20">
        <v>1</v>
      </c>
      <c r="AI20">
        <v>100</v>
      </c>
      <c r="AJ20">
        <v>28</v>
      </c>
      <c r="AK20">
        <v>3</v>
      </c>
      <c r="AL20">
        <v>10.71</v>
      </c>
      <c r="AM20">
        <v>3</v>
      </c>
      <c r="AN20">
        <v>2</v>
      </c>
      <c r="AO20">
        <v>66.67</v>
      </c>
      <c r="AP20">
        <v>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8</v>
      </c>
      <c r="AW20">
        <v>3</v>
      </c>
      <c r="AX20">
        <v>37.5</v>
      </c>
      <c r="AY20">
        <v>3</v>
      </c>
      <c r="AZ20">
        <v>12</v>
      </c>
      <c r="BA20">
        <v>18</v>
      </c>
      <c r="BB20">
        <v>2</v>
      </c>
      <c r="BC20">
        <v>6</v>
      </c>
      <c r="BD20">
        <v>17</v>
      </c>
      <c r="BE20">
        <v>89</v>
      </c>
      <c r="BF20">
        <v>24</v>
      </c>
      <c r="BG20">
        <v>26.97</v>
      </c>
      <c r="BH20">
        <v>1</v>
      </c>
      <c r="BI20">
        <v>2</v>
      </c>
      <c r="BJ20">
        <v>11</v>
      </c>
      <c r="BK20">
        <v>5</v>
      </c>
      <c r="BL20">
        <v>45.45</v>
      </c>
      <c r="BM20">
        <v>64</v>
      </c>
      <c r="BN20">
        <v>43</v>
      </c>
      <c r="BO20">
        <v>67.19</v>
      </c>
      <c r="BP20">
        <v>33</v>
      </c>
      <c r="BQ20">
        <v>21</v>
      </c>
      <c r="BR20">
        <v>63.64</v>
      </c>
      <c r="BS20">
        <v>1</v>
      </c>
      <c r="BT20">
        <v>1</v>
      </c>
      <c r="BU20">
        <v>100</v>
      </c>
      <c r="BV20">
        <v>38</v>
      </c>
      <c r="BW20">
        <v>18</v>
      </c>
      <c r="BX20">
        <v>7</v>
      </c>
      <c r="BY20">
        <v>1</v>
      </c>
      <c r="BZ20">
        <v>0</v>
      </c>
      <c r="CA20">
        <v>187</v>
      </c>
      <c r="CB20">
        <v>139</v>
      </c>
      <c r="CC20">
        <v>74.33</v>
      </c>
      <c r="CD20">
        <v>80</v>
      </c>
      <c r="CE20">
        <v>73</v>
      </c>
      <c r="CF20">
        <v>91.25</v>
      </c>
      <c r="CG20">
        <v>198</v>
      </c>
      <c r="CH20">
        <v>186</v>
      </c>
      <c r="CI20">
        <v>93.94</v>
      </c>
      <c r="CJ20">
        <v>49</v>
      </c>
      <c r="CK20">
        <v>26</v>
      </c>
      <c r="CL20">
        <v>53.06</v>
      </c>
      <c r="CM20">
        <v>59</v>
      </c>
      <c r="CN20">
        <v>42</v>
      </c>
      <c r="CO20">
        <v>71.19</v>
      </c>
      <c r="CP20">
        <v>76</v>
      </c>
      <c r="CQ20">
        <v>53</v>
      </c>
      <c r="CR20">
        <v>69.739999999999995</v>
      </c>
      <c r="CS20">
        <v>2</v>
      </c>
      <c r="CT20">
        <v>0</v>
      </c>
      <c r="CU20">
        <v>0</v>
      </c>
      <c r="CV20">
        <v>18</v>
      </c>
      <c r="CW20">
        <v>17</v>
      </c>
      <c r="CX20">
        <v>94.44</v>
      </c>
      <c r="CY20">
        <v>7</v>
      </c>
      <c r="CZ20">
        <v>15.44</v>
      </c>
      <c r="DA20">
        <v>4.5599999999999996</v>
      </c>
      <c r="DB20">
        <v>9.42</v>
      </c>
      <c r="DC20">
        <v>24.18</v>
      </c>
      <c r="DD20">
        <v>19.829999999999998</v>
      </c>
      <c r="DE20">
        <v>10.38</v>
      </c>
    </row>
    <row r="21" spans="1:109" ht="12" customHeight="1" x14ac:dyDescent="0.2">
      <c r="A21" s="2" t="s">
        <v>91</v>
      </c>
      <c r="B21" s="2" t="s">
        <v>92</v>
      </c>
      <c r="C21" s="2" t="s">
        <v>56</v>
      </c>
      <c r="D21" s="2">
        <v>97</v>
      </c>
      <c r="E21" t="s">
        <v>94</v>
      </c>
      <c r="F21" t="s">
        <v>95</v>
      </c>
      <c r="G21">
        <v>2</v>
      </c>
      <c r="H21">
        <v>1.78</v>
      </c>
      <c r="I21">
        <v>11</v>
      </c>
      <c r="J21">
        <v>5</v>
      </c>
      <c r="K21">
        <v>45.45</v>
      </c>
      <c r="L21">
        <v>395</v>
      </c>
      <c r="M21">
        <v>303</v>
      </c>
      <c r="N21">
        <v>76.709999999999994</v>
      </c>
      <c r="O21">
        <v>41.75</v>
      </c>
      <c r="P21">
        <v>123</v>
      </c>
      <c r="Q21">
        <v>17</v>
      </c>
      <c r="R21">
        <v>53</v>
      </c>
      <c r="S21">
        <v>53</v>
      </c>
      <c r="T21">
        <v>99</v>
      </c>
      <c r="U21">
        <v>40</v>
      </c>
      <c r="V21">
        <v>42</v>
      </c>
      <c r="W21">
        <v>17</v>
      </c>
      <c r="X21">
        <v>211</v>
      </c>
      <c r="Y21">
        <v>111</v>
      </c>
      <c r="Z21">
        <v>52.61</v>
      </c>
      <c r="AA21">
        <v>4</v>
      </c>
      <c r="AB21">
        <v>2</v>
      </c>
      <c r="AC21">
        <v>50</v>
      </c>
      <c r="AD21">
        <v>37</v>
      </c>
      <c r="AE21">
        <v>9</v>
      </c>
      <c r="AF21">
        <v>24.32</v>
      </c>
      <c r="AG21">
        <v>4</v>
      </c>
      <c r="AH21">
        <v>2</v>
      </c>
      <c r="AI21">
        <v>50</v>
      </c>
      <c r="AJ21">
        <v>17</v>
      </c>
      <c r="AK21">
        <v>0</v>
      </c>
      <c r="AL21">
        <v>0</v>
      </c>
      <c r="AM21">
        <v>5</v>
      </c>
      <c r="AN21">
        <v>1</v>
      </c>
      <c r="AO21">
        <v>20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22</v>
      </c>
      <c r="AW21">
        <v>12</v>
      </c>
      <c r="AX21">
        <v>54.55</v>
      </c>
      <c r="AY21">
        <v>12</v>
      </c>
      <c r="AZ21">
        <v>6</v>
      </c>
      <c r="BA21">
        <v>32</v>
      </c>
      <c r="BB21">
        <v>5</v>
      </c>
      <c r="BC21">
        <v>16</v>
      </c>
      <c r="BD21">
        <v>24</v>
      </c>
      <c r="BE21">
        <v>64</v>
      </c>
      <c r="BF21">
        <v>21</v>
      </c>
      <c r="BG21">
        <v>32.81</v>
      </c>
      <c r="BH21">
        <v>6</v>
      </c>
      <c r="BI21">
        <v>0</v>
      </c>
      <c r="BJ21">
        <v>12</v>
      </c>
      <c r="BK21">
        <v>5</v>
      </c>
      <c r="BL21">
        <v>41.67</v>
      </c>
      <c r="BM21">
        <v>89</v>
      </c>
      <c r="BN21">
        <v>65</v>
      </c>
      <c r="BO21">
        <v>73.03</v>
      </c>
      <c r="BP21">
        <v>33</v>
      </c>
      <c r="BQ21">
        <v>11</v>
      </c>
      <c r="BR21">
        <v>33.33</v>
      </c>
      <c r="BS21">
        <v>1</v>
      </c>
      <c r="BT21">
        <v>0</v>
      </c>
      <c r="BU21">
        <v>0</v>
      </c>
      <c r="BV21">
        <v>27</v>
      </c>
      <c r="BW21">
        <v>14</v>
      </c>
      <c r="BX21">
        <v>12</v>
      </c>
      <c r="BY21">
        <v>1</v>
      </c>
      <c r="BZ21">
        <v>0</v>
      </c>
      <c r="CA21">
        <v>144</v>
      </c>
      <c r="CB21">
        <v>94</v>
      </c>
      <c r="CC21">
        <v>65.28</v>
      </c>
      <c r="CD21">
        <v>66</v>
      </c>
      <c r="CE21">
        <v>59</v>
      </c>
      <c r="CF21">
        <v>89.39</v>
      </c>
      <c r="CG21">
        <v>140</v>
      </c>
      <c r="CH21">
        <v>118</v>
      </c>
      <c r="CI21">
        <v>84.29</v>
      </c>
      <c r="CJ21">
        <v>61</v>
      </c>
      <c r="CK21">
        <v>30</v>
      </c>
      <c r="CL21">
        <v>49.18</v>
      </c>
      <c r="CM21">
        <v>50</v>
      </c>
      <c r="CN21">
        <v>32</v>
      </c>
      <c r="CO21">
        <v>64</v>
      </c>
      <c r="CP21">
        <v>98</v>
      </c>
      <c r="CQ21">
        <v>66</v>
      </c>
      <c r="CR21">
        <v>67.349999999999994</v>
      </c>
      <c r="CS21">
        <v>0</v>
      </c>
      <c r="CT21">
        <v>0</v>
      </c>
      <c r="CU21">
        <v>0</v>
      </c>
      <c r="CV21">
        <v>23</v>
      </c>
      <c r="CW21">
        <v>23</v>
      </c>
      <c r="CX21">
        <v>100</v>
      </c>
      <c r="CY21">
        <v>5</v>
      </c>
      <c r="CZ21">
        <v>16.36</v>
      </c>
      <c r="DA21">
        <v>3.62</v>
      </c>
      <c r="DB21">
        <v>15.44</v>
      </c>
      <c r="DC21">
        <v>16.010000000000002</v>
      </c>
      <c r="DD21">
        <v>22.12</v>
      </c>
      <c r="DE21">
        <v>12.44</v>
      </c>
    </row>
    <row r="22" spans="1:109" ht="12" customHeight="1" x14ac:dyDescent="0.2">
      <c r="A22" s="2" t="s">
        <v>96</v>
      </c>
      <c r="B22" s="2" t="s">
        <v>97</v>
      </c>
      <c r="C22" s="2" t="s">
        <v>56</v>
      </c>
      <c r="D22" s="2">
        <v>98</v>
      </c>
      <c r="E22" t="s">
        <v>54</v>
      </c>
      <c r="F22" t="s">
        <v>61</v>
      </c>
      <c r="G22">
        <v>4</v>
      </c>
      <c r="H22">
        <v>4.7699999999999996</v>
      </c>
      <c r="I22">
        <v>25</v>
      </c>
      <c r="J22">
        <v>11</v>
      </c>
      <c r="K22">
        <v>44</v>
      </c>
      <c r="L22">
        <v>526</v>
      </c>
      <c r="M22">
        <v>439</v>
      </c>
      <c r="N22">
        <v>83.46</v>
      </c>
      <c r="O22">
        <v>65.39</v>
      </c>
      <c r="P22">
        <v>133</v>
      </c>
      <c r="Q22">
        <v>21</v>
      </c>
      <c r="R22">
        <v>54</v>
      </c>
      <c r="S22">
        <v>58</v>
      </c>
      <c r="T22">
        <v>105</v>
      </c>
      <c r="U22">
        <v>37</v>
      </c>
      <c r="V22">
        <v>53</v>
      </c>
      <c r="W22">
        <v>15</v>
      </c>
      <c r="X22">
        <v>262</v>
      </c>
      <c r="Y22">
        <v>140</v>
      </c>
      <c r="Z22">
        <v>53.44</v>
      </c>
      <c r="AA22">
        <v>6</v>
      </c>
      <c r="AB22">
        <v>2</v>
      </c>
      <c r="AC22">
        <v>33.33</v>
      </c>
      <c r="AD22">
        <v>36</v>
      </c>
      <c r="AE22">
        <v>18</v>
      </c>
      <c r="AF22">
        <v>50</v>
      </c>
      <c r="AG22">
        <v>0</v>
      </c>
      <c r="AH22">
        <v>0</v>
      </c>
      <c r="AI22">
        <v>0</v>
      </c>
      <c r="AJ22">
        <v>24</v>
      </c>
      <c r="AK22">
        <v>7</v>
      </c>
      <c r="AL22">
        <v>29.17</v>
      </c>
      <c r="AM22">
        <v>7</v>
      </c>
      <c r="AN22">
        <v>6</v>
      </c>
      <c r="AO22">
        <v>85.71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18</v>
      </c>
      <c r="AW22">
        <v>10</v>
      </c>
      <c r="AX22">
        <v>55.56</v>
      </c>
      <c r="AY22">
        <v>7</v>
      </c>
      <c r="AZ22">
        <v>11</v>
      </c>
      <c r="BA22">
        <v>27</v>
      </c>
      <c r="BB22">
        <v>7</v>
      </c>
      <c r="BC22">
        <v>9</v>
      </c>
      <c r="BD22">
        <v>37</v>
      </c>
      <c r="BE22">
        <v>97</v>
      </c>
      <c r="BF22">
        <v>29</v>
      </c>
      <c r="BG22">
        <v>29.9</v>
      </c>
      <c r="BH22">
        <v>2</v>
      </c>
      <c r="BI22">
        <v>1</v>
      </c>
      <c r="BJ22">
        <v>11</v>
      </c>
      <c r="BK22">
        <v>4</v>
      </c>
      <c r="BL22">
        <v>36.36</v>
      </c>
      <c r="BM22">
        <v>110</v>
      </c>
      <c r="BN22">
        <v>82</v>
      </c>
      <c r="BO22">
        <v>74.55</v>
      </c>
      <c r="BP22">
        <v>33</v>
      </c>
      <c r="BQ22">
        <v>21</v>
      </c>
      <c r="BR22">
        <v>63.64</v>
      </c>
      <c r="BS22">
        <v>0</v>
      </c>
      <c r="BT22">
        <v>0</v>
      </c>
      <c r="BU22">
        <v>0</v>
      </c>
      <c r="BV22">
        <v>50</v>
      </c>
      <c r="BW22">
        <v>11</v>
      </c>
      <c r="BX22">
        <v>11</v>
      </c>
      <c r="BY22">
        <v>0</v>
      </c>
      <c r="BZ22">
        <v>0</v>
      </c>
      <c r="CA22">
        <v>159</v>
      </c>
      <c r="CB22">
        <v>121</v>
      </c>
      <c r="CC22">
        <v>76.099999999999994</v>
      </c>
      <c r="CD22">
        <v>87</v>
      </c>
      <c r="CE22">
        <v>79</v>
      </c>
      <c r="CF22">
        <v>90.8</v>
      </c>
      <c r="CG22">
        <v>205</v>
      </c>
      <c r="CH22">
        <v>187</v>
      </c>
      <c r="CI22">
        <v>91.22</v>
      </c>
      <c r="CJ22">
        <v>54</v>
      </c>
      <c r="CK22">
        <v>30</v>
      </c>
      <c r="CL22">
        <v>55.56</v>
      </c>
      <c r="CM22">
        <v>63</v>
      </c>
      <c r="CN22">
        <v>38</v>
      </c>
      <c r="CO22">
        <v>60.32</v>
      </c>
      <c r="CP22">
        <v>96</v>
      </c>
      <c r="CQ22">
        <v>70</v>
      </c>
      <c r="CR22">
        <v>72.92</v>
      </c>
      <c r="CS22">
        <v>1</v>
      </c>
      <c r="CT22">
        <v>0</v>
      </c>
      <c r="CU22">
        <v>0</v>
      </c>
      <c r="CV22">
        <v>19</v>
      </c>
      <c r="CW22">
        <v>13</v>
      </c>
      <c r="CX22">
        <v>68.42</v>
      </c>
      <c r="CY22">
        <v>8</v>
      </c>
      <c r="CZ22">
        <v>16.3</v>
      </c>
      <c r="DA22">
        <v>4.38</v>
      </c>
      <c r="DB22">
        <v>10.27</v>
      </c>
      <c r="DC22">
        <v>14.82</v>
      </c>
      <c r="DD22">
        <v>20.2</v>
      </c>
      <c r="DE22">
        <v>4.74</v>
      </c>
    </row>
    <row r="23" spans="1:109" ht="12" customHeight="1" x14ac:dyDescent="0.2">
      <c r="A23" s="2" t="s">
        <v>96</v>
      </c>
      <c r="B23" s="2" t="s">
        <v>97</v>
      </c>
      <c r="C23" s="2" t="s">
        <v>56</v>
      </c>
      <c r="D23" s="2">
        <v>98</v>
      </c>
      <c r="E23" t="s">
        <v>98</v>
      </c>
      <c r="F23" t="s">
        <v>99</v>
      </c>
      <c r="G23">
        <v>1</v>
      </c>
      <c r="H23">
        <v>0.67</v>
      </c>
      <c r="I23">
        <v>11</v>
      </c>
      <c r="J23">
        <v>3</v>
      </c>
      <c r="K23">
        <v>27.27</v>
      </c>
      <c r="L23">
        <v>277</v>
      </c>
      <c r="M23">
        <v>182</v>
      </c>
      <c r="N23">
        <v>65.7</v>
      </c>
      <c r="O23">
        <v>34.61</v>
      </c>
      <c r="P23">
        <v>140</v>
      </c>
      <c r="Q23">
        <v>27</v>
      </c>
      <c r="R23">
        <v>63</v>
      </c>
      <c r="S23">
        <v>50</v>
      </c>
      <c r="T23">
        <v>94</v>
      </c>
      <c r="U23">
        <v>48</v>
      </c>
      <c r="V23">
        <v>33</v>
      </c>
      <c r="W23">
        <v>13</v>
      </c>
      <c r="X23">
        <v>262</v>
      </c>
      <c r="Y23">
        <v>117</v>
      </c>
      <c r="Z23">
        <v>44.66</v>
      </c>
      <c r="AA23">
        <v>6</v>
      </c>
      <c r="AB23">
        <v>0</v>
      </c>
      <c r="AC23">
        <v>0</v>
      </c>
      <c r="AD23">
        <v>32</v>
      </c>
      <c r="AE23">
        <v>8</v>
      </c>
      <c r="AF23">
        <v>25</v>
      </c>
      <c r="AG23">
        <v>0</v>
      </c>
      <c r="AH23">
        <v>0</v>
      </c>
      <c r="AI23">
        <v>0</v>
      </c>
      <c r="AJ23">
        <v>29</v>
      </c>
      <c r="AK23">
        <v>3</v>
      </c>
      <c r="AL23">
        <v>10.34</v>
      </c>
      <c r="AM23">
        <v>6</v>
      </c>
      <c r="AN23">
        <v>1</v>
      </c>
      <c r="AO23">
        <v>16.670000000000002</v>
      </c>
      <c r="AP23">
        <v>5</v>
      </c>
      <c r="AQ23">
        <v>1</v>
      </c>
      <c r="AR23">
        <v>20</v>
      </c>
      <c r="AS23">
        <v>0</v>
      </c>
      <c r="AT23">
        <v>0</v>
      </c>
      <c r="AU23">
        <v>0</v>
      </c>
      <c r="AV23">
        <v>4</v>
      </c>
      <c r="AW23">
        <v>0</v>
      </c>
      <c r="AX23">
        <v>0</v>
      </c>
      <c r="AY23">
        <v>0</v>
      </c>
      <c r="AZ23">
        <v>3</v>
      </c>
      <c r="BA23">
        <v>9</v>
      </c>
      <c r="BB23">
        <v>4</v>
      </c>
      <c r="BC23">
        <v>0</v>
      </c>
      <c r="BD23">
        <v>11</v>
      </c>
      <c r="BE23">
        <v>110</v>
      </c>
      <c r="BF23">
        <v>28</v>
      </c>
      <c r="BG23">
        <v>25.45</v>
      </c>
      <c r="BH23">
        <v>1</v>
      </c>
      <c r="BI23">
        <v>4</v>
      </c>
      <c r="BJ23">
        <v>25</v>
      </c>
      <c r="BK23">
        <v>11</v>
      </c>
      <c r="BL23">
        <v>44</v>
      </c>
      <c r="BM23">
        <v>97</v>
      </c>
      <c r="BN23">
        <v>68</v>
      </c>
      <c r="BO23">
        <v>70.099999999999994</v>
      </c>
      <c r="BP23">
        <v>33</v>
      </c>
      <c r="BQ23">
        <v>10</v>
      </c>
      <c r="BR23">
        <v>30.3</v>
      </c>
      <c r="BS23">
        <v>1</v>
      </c>
      <c r="BT23">
        <v>1</v>
      </c>
      <c r="BU23">
        <v>100</v>
      </c>
      <c r="BV23">
        <v>42</v>
      </c>
      <c r="BW23">
        <v>6</v>
      </c>
      <c r="BX23">
        <v>9</v>
      </c>
      <c r="BY23">
        <v>0</v>
      </c>
      <c r="BZ23">
        <v>0</v>
      </c>
      <c r="CA23">
        <v>136</v>
      </c>
      <c r="CB23">
        <v>86</v>
      </c>
      <c r="CC23">
        <v>63.24</v>
      </c>
      <c r="CD23">
        <v>33</v>
      </c>
      <c r="CE23">
        <v>30</v>
      </c>
      <c r="CF23">
        <v>90.91</v>
      </c>
      <c r="CG23">
        <v>68</v>
      </c>
      <c r="CH23">
        <v>43</v>
      </c>
      <c r="CI23">
        <v>63.24</v>
      </c>
      <c r="CJ23">
        <v>41</v>
      </c>
      <c r="CK23">
        <v>15</v>
      </c>
      <c r="CL23">
        <v>36.590000000000003</v>
      </c>
      <c r="CM23">
        <v>36</v>
      </c>
      <c r="CN23">
        <v>23</v>
      </c>
      <c r="CO23">
        <v>63.89</v>
      </c>
      <c r="CP23">
        <v>73</v>
      </c>
      <c r="CQ23">
        <v>38</v>
      </c>
      <c r="CR23">
        <v>52.05</v>
      </c>
      <c r="CS23">
        <v>0</v>
      </c>
      <c r="CT23">
        <v>0</v>
      </c>
      <c r="CU23">
        <v>0</v>
      </c>
      <c r="CV23">
        <v>30</v>
      </c>
      <c r="CW23">
        <v>29</v>
      </c>
      <c r="CX23">
        <v>96.67</v>
      </c>
      <c r="CY23">
        <v>11</v>
      </c>
      <c r="CZ23">
        <v>16.22</v>
      </c>
      <c r="DA23">
        <v>2.16</v>
      </c>
      <c r="DB23">
        <v>14.8</v>
      </c>
      <c r="DC23">
        <v>20.89</v>
      </c>
      <c r="DD23">
        <v>18.809999999999999</v>
      </c>
      <c r="DE23">
        <v>11.57</v>
      </c>
    </row>
    <row r="24" spans="1:109" ht="12" customHeight="1" x14ac:dyDescent="0.2">
      <c r="A24" s="2" t="s">
        <v>100</v>
      </c>
      <c r="B24" s="2" t="s">
        <v>101</v>
      </c>
      <c r="C24" s="2" t="s">
        <v>56</v>
      </c>
      <c r="D24" s="2">
        <v>98</v>
      </c>
      <c r="E24" t="s">
        <v>54</v>
      </c>
      <c r="F24" t="s">
        <v>61</v>
      </c>
      <c r="G24">
        <v>1</v>
      </c>
      <c r="H24">
        <v>2.38</v>
      </c>
      <c r="I24">
        <v>23</v>
      </c>
      <c r="J24">
        <v>7</v>
      </c>
      <c r="K24">
        <v>30.43</v>
      </c>
      <c r="L24">
        <v>754</v>
      </c>
      <c r="M24">
        <v>662</v>
      </c>
      <c r="N24">
        <v>87.8</v>
      </c>
      <c r="O24">
        <v>77.73</v>
      </c>
      <c r="P24">
        <v>134</v>
      </c>
      <c r="Q24">
        <v>7</v>
      </c>
      <c r="R24">
        <v>47</v>
      </c>
      <c r="S24">
        <v>80</v>
      </c>
      <c r="T24">
        <v>96</v>
      </c>
      <c r="U24">
        <v>23</v>
      </c>
      <c r="V24">
        <v>43</v>
      </c>
      <c r="W24">
        <v>30</v>
      </c>
      <c r="X24">
        <v>206</v>
      </c>
      <c r="Y24">
        <v>80</v>
      </c>
      <c r="Z24">
        <v>38.83</v>
      </c>
      <c r="AA24">
        <v>12</v>
      </c>
      <c r="AB24">
        <v>3</v>
      </c>
      <c r="AC24">
        <v>25</v>
      </c>
      <c r="AD24">
        <v>61</v>
      </c>
      <c r="AE24">
        <v>20</v>
      </c>
      <c r="AF24">
        <v>32.79</v>
      </c>
      <c r="AG24">
        <v>0</v>
      </c>
      <c r="AH24">
        <v>0</v>
      </c>
      <c r="AI24">
        <v>0</v>
      </c>
      <c r="AJ24">
        <v>21</v>
      </c>
      <c r="AK24">
        <v>2</v>
      </c>
      <c r="AL24">
        <v>9.52</v>
      </c>
      <c r="AM24">
        <v>8</v>
      </c>
      <c r="AN24">
        <v>3</v>
      </c>
      <c r="AO24">
        <v>37.5</v>
      </c>
      <c r="AP24">
        <v>2</v>
      </c>
      <c r="AQ24">
        <v>1</v>
      </c>
      <c r="AR24">
        <v>50</v>
      </c>
      <c r="AS24">
        <v>0</v>
      </c>
      <c r="AT24">
        <v>0</v>
      </c>
      <c r="AU24">
        <v>0</v>
      </c>
      <c r="AV24">
        <v>35</v>
      </c>
      <c r="AW24">
        <v>18</v>
      </c>
      <c r="AX24">
        <v>51.43</v>
      </c>
      <c r="AY24">
        <v>16</v>
      </c>
      <c r="AZ24">
        <v>12</v>
      </c>
      <c r="BA24">
        <v>51</v>
      </c>
      <c r="BB24">
        <v>5</v>
      </c>
      <c r="BC24">
        <v>25</v>
      </c>
      <c r="BD24">
        <v>35</v>
      </c>
      <c r="BE24">
        <v>118</v>
      </c>
      <c r="BF24">
        <v>30</v>
      </c>
      <c r="BG24">
        <v>25.42</v>
      </c>
      <c r="BH24">
        <v>2</v>
      </c>
      <c r="BI24">
        <v>1</v>
      </c>
      <c r="BJ24">
        <v>6</v>
      </c>
      <c r="BK24">
        <v>3</v>
      </c>
      <c r="BL24">
        <v>50</v>
      </c>
      <c r="BM24">
        <v>34</v>
      </c>
      <c r="BN24">
        <v>25</v>
      </c>
      <c r="BO24">
        <v>73.53</v>
      </c>
      <c r="BP24">
        <v>26</v>
      </c>
      <c r="BQ24">
        <v>14</v>
      </c>
      <c r="BR24">
        <v>53.85</v>
      </c>
      <c r="BS24">
        <v>0</v>
      </c>
      <c r="BT24">
        <v>0</v>
      </c>
      <c r="BU24">
        <v>0</v>
      </c>
      <c r="BV24">
        <v>33</v>
      </c>
      <c r="BW24">
        <v>6</v>
      </c>
      <c r="BX24">
        <v>10</v>
      </c>
      <c r="BY24">
        <v>0</v>
      </c>
      <c r="BZ24">
        <v>0</v>
      </c>
      <c r="CA24">
        <v>211</v>
      </c>
      <c r="CB24">
        <v>171</v>
      </c>
      <c r="CC24">
        <v>81.040000000000006</v>
      </c>
      <c r="CD24">
        <v>93</v>
      </c>
      <c r="CE24">
        <v>86</v>
      </c>
      <c r="CF24">
        <v>92.47</v>
      </c>
      <c r="CG24">
        <v>344</v>
      </c>
      <c r="CH24">
        <v>312</v>
      </c>
      <c r="CI24">
        <v>90.7</v>
      </c>
      <c r="CJ24">
        <v>42</v>
      </c>
      <c r="CK24">
        <v>22</v>
      </c>
      <c r="CL24">
        <v>52.38</v>
      </c>
      <c r="CM24">
        <v>76</v>
      </c>
      <c r="CN24">
        <v>56</v>
      </c>
      <c r="CO24">
        <v>73.680000000000007</v>
      </c>
      <c r="CP24">
        <v>83</v>
      </c>
      <c r="CQ24">
        <v>72</v>
      </c>
      <c r="CR24">
        <v>86.75</v>
      </c>
      <c r="CS24">
        <v>0</v>
      </c>
      <c r="CT24">
        <v>0</v>
      </c>
      <c r="CU24">
        <v>0</v>
      </c>
      <c r="CV24">
        <v>36</v>
      </c>
      <c r="CW24">
        <v>31</v>
      </c>
      <c r="CX24">
        <v>86.11</v>
      </c>
      <c r="CY24">
        <v>2</v>
      </c>
      <c r="CZ24">
        <v>17.510000000000002</v>
      </c>
      <c r="DA24">
        <v>5.5</v>
      </c>
      <c r="DB24">
        <v>5.57</v>
      </c>
      <c r="DC24">
        <v>18.420000000000002</v>
      </c>
      <c r="DD24">
        <v>18.260000000000002</v>
      </c>
      <c r="DE24">
        <v>3.52</v>
      </c>
    </row>
    <row r="25" spans="1:109" ht="12" customHeight="1" x14ac:dyDescent="0.2">
      <c r="A25" s="2" t="s">
        <v>100</v>
      </c>
      <c r="B25" s="2" t="s">
        <v>101</v>
      </c>
      <c r="C25" s="2" t="s">
        <v>56</v>
      </c>
      <c r="D25" s="2">
        <v>98</v>
      </c>
      <c r="E25" t="s">
        <v>58</v>
      </c>
      <c r="F25" t="s">
        <v>102</v>
      </c>
      <c r="G25">
        <v>1</v>
      </c>
      <c r="H25">
        <v>0.39</v>
      </c>
      <c r="I25">
        <v>6</v>
      </c>
      <c r="J25">
        <v>3</v>
      </c>
      <c r="K25">
        <v>50</v>
      </c>
      <c r="L25">
        <v>172</v>
      </c>
      <c r="M25">
        <v>96</v>
      </c>
      <c r="N25">
        <v>55.81</v>
      </c>
      <c r="O25">
        <v>22.27</v>
      </c>
      <c r="P25">
        <v>140</v>
      </c>
      <c r="Q25">
        <v>49</v>
      </c>
      <c r="R25">
        <v>59</v>
      </c>
      <c r="S25">
        <v>32</v>
      </c>
      <c r="T25">
        <v>74</v>
      </c>
      <c r="U25">
        <v>33</v>
      </c>
      <c r="V25">
        <v>33</v>
      </c>
      <c r="W25">
        <v>8</v>
      </c>
      <c r="X25">
        <v>206</v>
      </c>
      <c r="Y25">
        <v>119</v>
      </c>
      <c r="Z25">
        <v>57.77</v>
      </c>
      <c r="AA25">
        <v>3</v>
      </c>
      <c r="AB25">
        <v>2</v>
      </c>
      <c r="AC25">
        <v>66.67</v>
      </c>
      <c r="AD25">
        <v>11</v>
      </c>
      <c r="AE25">
        <v>4</v>
      </c>
      <c r="AF25">
        <v>36.36</v>
      </c>
      <c r="AG25">
        <v>0</v>
      </c>
      <c r="AH25">
        <v>0</v>
      </c>
      <c r="AI25">
        <v>0</v>
      </c>
      <c r="AJ25">
        <v>26</v>
      </c>
      <c r="AK25">
        <v>2</v>
      </c>
      <c r="AL25">
        <v>7.69</v>
      </c>
      <c r="AM25">
        <v>2</v>
      </c>
      <c r="AN25">
        <v>1</v>
      </c>
      <c r="AO25">
        <v>50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</v>
      </c>
      <c r="AW25">
        <v>1</v>
      </c>
      <c r="AX25">
        <v>50</v>
      </c>
      <c r="AY25">
        <v>1</v>
      </c>
      <c r="AZ25">
        <v>1</v>
      </c>
      <c r="BA25">
        <v>13</v>
      </c>
      <c r="BB25">
        <v>3</v>
      </c>
      <c r="BC25">
        <v>2</v>
      </c>
      <c r="BD25">
        <v>6</v>
      </c>
      <c r="BE25">
        <v>34</v>
      </c>
      <c r="BF25">
        <v>9</v>
      </c>
      <c r="BG25">
        <v>26.47</v>
      </c>
      <c r="BH25">
        <v>2</v>
      </c>
      <c r="BI25">
        <v>1</v>
      </c>
      <c r="BJ25">
        <v>23</v>
      </c>
      <c r="BK25">
        <v>7</v>
      </c>
      <c r="BL25">
        <v>30.43</v>
      </c>
      <c r="BM25">
        <v>118</v>
      </c>
      <c r="BN25">
        <v>88</v>
      </c>
      <c r="BO25">
        <v>74.58</v>
      </c>
      <c r="BP25">
        <v>26</v>
      </c>
      <c r="BQ25">
        <v>10</v>
      </c>
      <c r="BR25">
        <v>38.46</v>
      </c>
      <c r="BS25">
        <v>9</v>
      </c>
      <c r="BT25">
        <v>6</v>
      </c>
      <c r="BU25">
        <v>66.67</v>
      </c>
      <c r="BV25">
        <v>69</v>
      </c>
      <c r="BW25">
        <v>42</v>
      </c>
      <c r="BX25">
        <v>9</v>
      </c>
      <c r="BY25">
        <v>2</v>
      </c>
      <c r="BZ25">
        <v>0</v>
      </c>
      <c r="CA25">
        <v>90</v>
      </c>
      <c r="CB25">
        <v>38</v>
      </c>
      <c r="CC25">
        <v>42.22</v>
      </c>
      <c r="CD25">
        <v>16</v>
      </c>
      <c r="CE25">
        <v>11</v>
      </c>
      <c r="CF25">
        <v>68.75</v>
      </c>
      <c r="CG25">
        <v>42</v>
      </c>
      <c r="CH25">
        <v>33</v>
      </c>
      <c r="CI25">
        <v>78.569999999999993</v>
      </c>
      <c r="CJ25">
        <v>41</v>
      </c>
      <c r="CK25">
        <v>14</v>
      </c>
      <c r="CL25">
        <v>34.15</v>
      </c>
      <c r="CM25">
        <v>29</v>
      </c>
      <c r="CN25">
        <v>8</v>
      </c>
      <c r="CO25">
        <v>27.59</v>
      </c>
      <c r="CP25">
        <v>57</v>
      </c>
      <c r="CQ25">
        <v>20</v>
      </c>
      <c r="CR25">
        <v>35.090000000000003</v>
      </c>
      <c r="CS25">
        <v>0</v>
      </c>
      <c r="CT25">
        <v>0</v>
      </c>
      <c r="CU25">
        <v>0</v>
      </c>
      <c r="CV25">
        <v>14</v>
      </c>
      <c r="CW25">
        <v>10</v>
      </c>
      <c r="CX25">
        <v>71.430000000000007</v>
      </c>
      <c r="CY25">
        <v>12</v>
      </c>
      <c r="CZ25">
        <v>13.94</v>
      </c>
      <c r="DA25">
        <v>1.52</v>
      </c>
      <c r="DB25">
        <v>23.84</v>
      </c>
      <c r="DC25">
        <v>22.26</v>
      </c>
      <c r="DD25">
        <v>21.91</v>
      </c>
      <c r="DE25">
        <v>15.06</v>
      </c>
    </row>
    <row r="26" spans="1:109" ht="12" customHeight="1" x14ac:dyDescent="0.2">
      <c r="A26" s="2" t="s">
        <v>103</v>
      </c>
      <c r="B26" s="2" t="s">
        <v>104</v>
      </c>
      <c r="C26" s="2" t="s">
        <v>56</v>
      </c>
      <c r="D26" s="2">
        <v>102</v>
      </c>
      <c r="E26" t="s">
        <v>54</v>
      </c>
      <c r="F26" t="s">
        <v>76</v>
      </c>
      <c r="G26">
        <v>1</v>
      </c>
      <c r="H26">
        <v>3.03</v>
      </c>
      <c r="I26">
        <v>22</v>
      </c>
      <c r="J26">
        <v>8</v>
      </c>
      <c r="K26">
        <v>36.36</v>
      </c>
      <c r="L26">
        <v>447</v>
      </c>
      <c r="M26">
        <v>359</v>
      </c>
      <c r="N26">
        <v>80.31</v>
      </c>
      <c r="O26">
        <v>59.58</v>
      </c>
      <c r="P26">
        <v>123</v>
      </c>
      <c r="Q26">
        <v>17</v>
      </c>
      <c r="R26">
        <v>57</v>
      </c>
      <c r="S26">
        <v>49</v>
      </c>
      <c r="T26">
        <v>101</v>
      </c>
      <c r="U26">
        <v>42</v>
      </c>
      <c r="V26">
        <v>42</v>
      </c>
      <c r="W26">
        <v>17</v>
      </c>
      <c r="X26">
        <v>229</v>
      </c>
      <c r="Y26">
        <v>121</v>
      </c>
      <c r="Z26">
        <v>52.84</v>
      </c>
      <c r="AA26">
        <v>7</v>
      </c>
      <c r="AB26">
        <v>0</v>
      </c>
      <c r="AC26">
        <v>0</v>
      </c>
      <c r="AD26">
        <v>27</v>
      </c>
      <c r="AE26">
        <v>13</v>
      </c>
      <c r="AF26">
        <v>48.15</v>
      </c>
      <c r="AG26">
        <v>2</v>
      </c>
      <c r="AH26">
        <v>2</v>
      </c>
      <c r="AI26">
        <v>100</v>
      </c>
      <c r="AJ26">
        <v>26</v>
      </c>
      <c r="AK26">
        <v>6</v>
      </c>
      <c r="AL26">
        <v>23.08</v>
      </c>
      <c r="AM26">
        <v>4</v>
      </c>
      <c r="AN26">
        <v>3</v>
      </c>
      <c r="AO26">
        <v>75</v>
      </c>
      <c r="AP26">
        <v>5</v>
      </c>
      <c r="AQ26">
        <v>1</v>
      </c>
      <c r="AR26">
        <v>20</v>
      </c>
      <c r="AS26">
        <v>0</v>
      </c>
      <c r="AT26">
        <v>0</v>
      </c>
      <c r="AU26">
        <v>0</v>
      </c>
      <c r="AV26">
        <v>18</v>
      </c>
      <c r="AW26">
        <v>10</v>
      </c>
      <c r="AX26">
        <v>55.56</v>
      </c>
      <c r="AY26">
        <v>8</v>
      </c>
      <c r="AZ26">
        <v>10</v>
      </c>
      <c r="BA26">
        <v>26</v>
      </c>
      <c r="BB26">
        <v>7</v>
      </c>
      <c r="BC26">
        <v>10</v>
      </c>
      <c r="BD26">
        <v>27</v>
      </c>
      <c r="BE26">
        <v>84</v>
      </c>
      <c r="BF26">
        <v>33</v>
      </c>
      <c r="BG26">
        <v>39.29</v>
      </c>
      <c r="BH26">
        <v>3</v>
      </c>
      <c r="BI26">
        <v>2</v>
      </c>
      <c r="BJ26">
        <v>8</v>
      </c>
      <c r="BK26">
        <v>3</v>
      </c>
      <c r="BL26">
        <v>37.5</v>
      </c>
      <c r="BM26">
        <v>77</v>
      </c>
      <c r="BN26">
        <v>53</v>
      </c>
      <c r="BO26">
        <v>68.83</v>
      </c>
      <c r="BP26">
        <v>31</v>
      </c>
      <c r="BQ26">
        <v>16</v>
      </c>
      <c r="BR26">
        <v>51.61</v>
      </c>
      <c r="BS26">
        <v>6</v>
      </c>
      <c r="BT26">
        <v>3</v>
      </c>
      <c r="BU26">
        <v>50</v>
      </c>
      <c r="BV26">
        <v>34</v>
      </c>
      <c r="BW26">
        <v>13</v>
      </c>
      <c r="BX26">
        <v>13</v>
      </c>
      <c r="BY26">
        <v>2</v>
      </c>
      <c r="BZ26">
        <v>0</v>
      </c>
      <c r="CA26">
        <v>170</v>
      </c>
      <c r="CB26">
        <v>111</v>
      </c>
      <c r="CC26">
        <v>65.290000000000006</v>
      </c>
      <c r="CD26">
        <v>56</v>
      </c>
      <c r="CE26">
        <v>53</v>
      </c>
      <c r="CF26">
        <v>94.64</v>
      </c>
      <c r="CG26">
        <v>173</v>
      </c>
      <c r="CH26">
        <v>158</v>
      </c>
      <c r="CI26">
        <v>91.33</v>
      </c>
      <c r="CJ26">
        <v>43</v>
      </c>
      <c r="CK26">
        <v>17</v>
      </c>
      <c r="CL26">
        <v>39.53</v>
      </c>
      <c r="CM26">
        <v>50</v>
      </c>
      <c r="CN26">
        <v>24</v>
      </c>
      <c r="CO26">
        <v>48</v>
      </c>
      <c r="CP26">
        <v>80</v>
      </c>
      <c r="CQ26">
        <v>52</v>
      </c>
      <c r="CR26">
        <v>65</v>
      </c>
      <c r="CS26">
        <v>0</v>
      </c>
      <c r="CT26">
        <v>0</v>
      </c>
      <c r="CU26">
        <v>0</v>
      </c>
      <c r="CV26">
        <v>25</v>
      </c>
      <c r="CW26">
        <v>20</v>
      </c>
      <c r="CX26">
        <v>80</v>
      </c>
      <c r="CY26">
        <v>6</v>
      </c>
      <c r="CZ26">
        <v>15.2</v>
      </c>
      <c r="DA26">
        <v>3.79</v>
      </c>
      <c r="DB26">
        <v>9.6199999999999992</v>
      </c>
      <c r="DC26">
        <v>17.3</v>
      </c>
      <c r="DD26">
        <v>20.45</v>
      </c>
      <c r="DE26">
        <v>5.89</v>
      </c>
    </row>
    <row r="27" spans="1:109" ht="12" customHeight="1" x14ac:dyDescent="0.2">
      <c r="A27" s="2" t="s">
        <v>103</v>
      </c>
      <c r="B27" s="2" t="s">
        <v>104</v>
      </c>
      <c r="C27" s="2" t="s">
        <v>56</v>
      </c>
      <c r="D27" s="2">
        <v>102</v>
      </c>
      <c r="E27" t="s">
        <v>60</v>
      </c>
      <c r="F27" t="s">
        <v>61</v>
      </c>
      <c r="G27">
        <v>2</v>
      </c>
      <c r="H27">
        <v>1.24</v>
      </c>
      <c r="I27">
        <v>8</v>
      </c>
      <c r="J27">
        <v>3</v>
      </c>
      <c r="K27">
        <v>37.5</v>
      </c>
      <c r="L27">
        <v>281</v>
      </c>
      <c r="M27">
        <v>206</v>
      </c>
      <c r="N27">
        <v>73.31</v>
      </c>
      <c r="O27">
        <v>40.42</v>
      </c>
      <c r="P27">
        <v>123</v>
      </c>
      <c r="Q27">
        <v>24</v>
      </c>
      <c r="R27">
        <v>53</v>
      </c>
      <c r="S27">
        <v>46</v>
      </c>
      <c r="T27">
        <v>92</v>
      </c>
      <c r="U27">
        <v>32</v>
      </c>
      <c r="V27">
        <v>49</v>
      </c>
      <c r="W27">
        <v>11</v>
      </c>
      <c r="X27">
        <v>229</v>
      </c>
      <c r="Y27">
        <v>102</v>
      </c>
      <c r="Z27">
        <v>44.54</v>
      </c>
      <c r="AA27">
        <v>3</v>
      </c>
      <c r="AB27">
        <v>1</v>
      </c>
      <c r="AC27">
        <v>33.33</v>
      </c>
      <c r="AD27">
        <v>27</v>
      </c>
      <c r="AE27">
        <v>6</v>
      </c>
      <c r="AF27">
        <v>22.22</v>
      </c>
      <c r="AG27">
        <v>0</v>
      </c>
      <c r="AH27">
        <v>0</v>
      </c>
      <c r="AI27">
        <v>0</v>
      </c>
      <c r="AJ27">
        <v>26</v>
      </c>
      <c r="AK27">
        <v>1</v>
      </c>
      <c r="AL27">
        <v>3.85</v>
      </c>
      <c r="AM27">
        <v>2</v>
      </c>
      <c r="AN27">
        <v>0</v>
      </c>
      <c r="AO27">
        <v>0</v>
      </c>
      <c r="AP27">
        <v>3</v>
      </c>
      <c r="AQ27">
        <v>0</v>
      </c>
      <c r="AR27">
        <v>0</v>
      </c>
      <c r="AS27">
        <v>1</v>
      </c>
      <c r="AT27">
        <v>1</v>
      </c>
      <c r="AU27">
        <v>100</v>
      </c>
      <c r="AV27">
        <v>9</v>
      </c>
      <c r="AW27">
        <v>4</v>
      </c>
      <c r="AX27">
        <v>44.44</v>
      </c>
      <c r="AY27">
        <v>3</v>
      </c>
      <c r="AZ27">
        <v>6</v>
      </c>
      <c r="BA27">
        <v>15</v>
      </c>
      <c r="BB27">
        <v>3</v>
      </c>
      <c r="BC27">
        <v>5</v>
      </c>
      <c r="BD27">
        <v>14</v>
      </c>
      <c r="BE27">
        <v>77</v>
      </c>
      <c r="BF27">
        <v>24</v>
      </c>
      <c r="BG27">
        <v>31.17</v>
      </c>
      <c r="BH27">
        <v>0</v>
      </c>
      <c r="BI27">
        <v>1</v>
      </c>
      <c r="BJ27">
        <v>22</v>
      </c>
      <c r="BK27">
        <v>8</v>
      </c>
      <c r="BL27">
        <v>36.36</v>
      </c>
      <c r="BM27">
        <v>84</v>
      </c>
      <c r="BN27">
        <v>51</v>
      </c>
      <c r="BO27">
        <v>60.71</v>
      </c>
      <c r="BP27">
        <v>31</v>
      </c>
      <c r="BQ27">
        <v>15</v>
      </c>
      <c r="BR27">
        <v>48.39</v>
      </c>
      <c r="BS27">
        <v>10</v>
      </c>
      <c r="BT27">
        <v>4</v>
      </c>
      <c r="BU27">
        <v>40</v>
      </c>
      <c r="BV27">
        <v>51</v>
      </c>
      <c r="BW27">
        <v>19</v>
      </c>
      <c r="BX27">
        <v>16</v>
      </c>
      <c r="BY27">
        <v>4</v>
      </c>
      <c r="BZ27">
        <v>0</v>
      </c>
      <c r="CA27">
        <v>132</v>
      </c>
      <c r="CB27">
        <v>85</v>
      </c>
      <c r="CC27">
        <v>64.39</v>
      </c>
      <c r="CD27">
        <v>53</v>
      </c>
      <c r="CE27">
        <v>49</v>
      </c>
      <c r="CF27">
        <v>92.45</v>
      </c>
      <c r="CG27">
        <v>59</v>
      </c>
      <c r="CH27">
        <v>48</v>
      </c>
      <c r="CI27">
        <v>81.36</v>
      </c>
      <c r="CJ27">
        <v>51</v>
      </c>
      <c r="CK27">
        <v>33</v>
      </c>
      <c r="CL27">
        <v>64.709999999999994</v>
      </c>
      <c r="CM27">
        <v>38</v>
      </c>
      <c r="CN27">
        <v>26</v>
      </c>
      <c r="CO27">
        <v>68.42</v>
      </c>
      <c r="CP27">
        <v>60</v>
      </c>
      <c r="CQ27">
        <v>39</v>
      </c>
      <c r="CR27">
        <v>65</v>
      </c>
      <c r="CS27">
        <v>0</v>
      </c>
      <c r="CT27">
        <v>0</v>
      </c>
      <c r="CU27">
        <v>0</v>
      </c>
      <c r="CV27">
        <v>21</v>
      </c>
      <c r="CW27">
        <v>14</v>
      </c>
      <c r="CX27">
        <v>66.67</v>
      </c>
      <c r="CY27">
        <v>11</v>
      </c>
      <c r="CZ27">
        <v>14.09</v>
      </c>
      <c r="DA27">
        <v>2.5099999999999998</v>
      </c>
      <c r="DB27">
        <v>18.149999999999999</v>
      </c>
      <c r="DC27">
        <v>21.84</v>
      </c>
      <c r="DD27">
        <v>19.32</v>
      </c>
      <c r="DE27">
        <v>8.07</v>
      </c>
    </row>
    <row r="28" spans="1:109" ht="12" customHeight="1" x14ac:dyDescent="0.2">
      <c r="A28" s="2" t="s">
        <v>105</v>
      </c>
      <c r="B28" s="2" t="s">
        <v>106</v>
      </c>
      <c r="C28" s="2" t="s">
        <v>56</v>
      </c>
      <c r="D28" s="2">
        <v>96</v>
      </c>
      <c r="E28" t="s">
        <v>54</v>
      </c>
      <c r="F28" t="s">
        <v>61</v>
      </c>
      <c r="G28">
        <v>3</v>
      </c>
      <c r="H28">
        <v>0.83</v>
      </c>
      <c r="I28">
        <v>12</v>
      </c>
      <c r="J28">
        <v>7</v>
      </c>
      <c r="K28">
        <v>58.33</v>
      </c>
      <c r="L28">
        <v>271</v>
      </c>
      <c r="M28">
        <v>195</v>
      </c>
      <c r="N28">
        <v>71.959999999999994</v>
      </c>
      <c r="O28">
        <v>38.76</v>
      </c>
      <c r="P28">
        <v>119</v>
      </c>
      <c r="Q28">
        <v>40</v>
      </c>
      <c r="R28">
        <v>39</v>
      </c>
      <c r="S28">
        <v>40</v>
      </c>
      <c r="T28">
        <v>80</v>
      </c>
      <c r="U28">
        <v>49</v>
      </c>
      <c r="V28">
        <v>23</v>
      </c>
      <c r="W28">
        <v>8</v>
      </c>
      <c r="X28">
        <v>179</v>
      </c>
      <c r="Y28">
        <v>79</v>
      </c>
      <c r="Z28">
        <v>44.13</v>
      </c>
      <c r="AA28">
        <v>7</v>
      </c>
      <c r="AB28">
        <v>4</v>
      </c>
      <c r="AC28">
        <v>57.14</v>
      </c>
      <c r="AD28">
        <v>17</v>
      </c>
      <c r="AE28">
        <v>5</v>
      </c>
      <c r="AF28">
        <v>29.41</v>
      </c>
      <c r="AG28">
        <v>3</v>
      </c>
      <c r="AH28">
        <v>2</v>
      </c>
      <c r="AI28">
        <v>66.67</v>
      </c>
      <c r="AJ28">
        <v>27</v>
      </c>
      <c r="AK28">
        <v>4</v>
      </c>
      <c r="AL28">
        <v>14.81</v>
      </c>
      <c r="AM28">
        <v>2</v>
      </c>
      <c r="AN28">
        <v>2</v>
      </c>
      <c r="AO28">
        <v>100</v>
      </c>
      <c r="AP28">
        <v>5</v>
      </c>
      <c r="AQ28">
        <v>1</v>
      </c>
      <c r="AR28">
        <v>20</v>
      </c>
      <c r="AS28">
        <v>0</v>
      </c>
      <c r="AT28">
        <v>0</v>
      </c>
      <c r="AU28">
        <v>0</v>
      </c>
      <c r="AV28">
        <v>6</v>
      </c>
      <c r="AW28">
        <v>4</v>
      </c>
      <c r="AX28">
        <v>66.67</v>
      </c>
      <c r="AY28">
        <v>3</v>
      </c>
      <c r="AZ28">
        <v>4</v>
      </c>
      <c r="BA28">
        <v>8</v>
      </c>
      <c r="BB28">
        <v>1</v>
      </c>
      <c r="BC28">
        <v>2</v>
      </c>
      <c r="BD28">
        <v>9</v>
      </c>
      <c r="BE28">
        <v>66</v>
      </c>
      <c r="BF28">
        <v>18</v>
      </c>
      <c r="BG28">
        <v>27.27</v>
      </c>
      <c r="BH28">
        <v>0</v>
      </c>
      <c r="BI28">
        <v>0</v>
      </c>
      <c r="BJ28">
        <v>14</v>
      </c>
      <c r="BK28">
        <v>5</v>
      </c>
      <c r="BL28">
        <v>35.71</v>
      </c>
      <c r="BM28">
        <v>70</v>
      </c>
      <c r="BN28">
        <v>44</v>
      </c>
      <c r="BO28">
        <v>62.86</v>
      </c>
      <c r="BP28">
        <v>20</v>
      </c>
      <c r="BQ28">
        <v>10</v>
      </c>
      <c r="BR28">
        <v>50</v>
      </c>
      <c r="BS28">
        <v>2</v>
      </c>
      <c r="BT28">
        <v>1</v>
      </c>
      <c r="BU28">
        <v>50</v>
      </c>
      <c r="BV28">
        <v>56</v>
      </c>
      <c r="BW28">
        <v>33</v>
      </c>
      <c r="BX28">
        <v>11</v>
      </c>
      <c r="BY28">
        <v>4</v>
      </c>
      <c r="BZ28">
        <v>0</v>
      </c>
      <c r="CA28">
        <v>101</v>
      </c>
      <c r="CB28">
        <v>62</v>
      </c>
      <c r="CC28">
        <v>61.39</v>
      </c>
      <c r="CD28">
        <v>39</v>
      </c>
      <c r="CE28">
        <v>30</v>
      </c>
      <c r="CF28">
        <v>76.92</v>
      </c>
      <c r="CG28">
        <v>90</v>
      </c>
      <c r="CH28">
        <v>75</v>
      </c>
      <c r="CI28">
        <v>83.33</v>
      </c>
      <c r="CJ28">
        <v>33</v>
      </c>
      <c r="CK28">
        <v>12</v>
      </c>
      <c r="CL28">
        <v>36.36</v>
      </c>
      <c r="CM28">
        <v>35</v>
      </c>
      <c r="CN28">
        <v>14</v>
      </c>
      <c r="CO28">
        <v>40</v>
      </c>
      <c r="CP28">
        <v>63</v>
      </c>
      <c r="CQ28">
        <v>31</v>
      </c>
      <c r="CR28">
        <v>49.21</v>
      </c>
      <c r="CS28">
        <v>0</v>
      </c>
      <c r="CT28">
        <v>0</v>
      </c>
      <c r="CU28">
        <v>0</v>
      </c>
      <c r="CV28">
        <v>17</v>
      </c>
      <c r="CW28">
        <v>14</v>
      </c>
      <c r="CX28">
        <v>82.35</v>
      </c>
      <c r="CY28">
        <v>9</v>
      </c>
      <c r="CZ28">
        <v>13.18</v>
      </c>
      <c r="DA28">
        <v>2.44</v>
      </c>
      <c r="DB28">
        <v>12.18</v>
      </c>
      <c r="DC28">
        <v>21.78</v>
      </c>
      <c r="DD28">
        <v>21.87</v>
      </c>
      <c r="DE28">
        <v>15.43</v>
      </c>
    </row>
    <row r="29" spans="1:109" ht="12" customHeight="1" x14ac:dyDescent="0.2">
      <c r="A29" s="2" t="s">
        <v>105</v>
      </c>
      <c r="B29" s="2" t="s">
        <v>106</v>
      </c>
      <c r="C29" s="2" t="s">
        <v>56</v>
      </c>
      <c r="D29" s="2">
        <v>96</v>
      </c>
      <c r="E29" t="s">
        <v>107</v>
      </c>
      <c r="F29" t="s">
        <v>59</v>
      </c>
      <c r="G29">
        <v>0</v>
      </c>
      <c r="H29">
        <v>0.85</v>
      </c>
      <c r="I29">
        <v>14</v>
      </c>
      <c r="J29">
        <v>4</v>
      </c>
      <c r="K29">
        <v>28.57</v>
      </c>
      <c r="L29">
        <v>625</v>
      </c>
      <c r="M29">
        <v>519</v>
      </c>
      <c r="N29">
        <v>83.04</v>
      </c>
      <c r="O29">
        <v>61.24</v>
      </c>
      <c r="P29">
        <v>127</v>
      </c>
      <c r="Q29">
        <v>18</v>
      </c>
      <c r="R29">
        <v>37</v>
      </c>
      <c r="S29">
        <v>72</v>
      </c>
      <c r="T29">
        <v>87</v>
      </c>
      <c r="U29">
        <v>35</v>
      </c>
      <c r="V29">
        <v>31</v>
      </c>
      <c r="W29">
        <v>21</v>
      </c>
      <c r="X29">
        <v>179</v>
      </c>
      <c r="Y29">
        <v>96</v>
      </c>
      <c r="Z29">
        <v>53.63</v>
      </c>
      <c r="AA29">
        <v>6</v>
      </c>
      <c r="AB29">
        <v>1</v>
      </c>
      <c r="AC29">
        <v>16.670000000000002</v>
      </c>
      <c r="AD29">
        <v>43</v>
      </c>
      <c r="AE29">
        <v>8</v>
      </c>
      <c r="AF29">
        <v>18.600000000000001</v>
      </c>
      <c r="AG29">
        <v>2</v>
      </c>
      <c r="AH29">
        <v>2</v>
      </c>
      <c r="AI29">
        <v>100</v>
      </c>
      <c r="AJ29">
        <v>21</v>
      </c>
      <c r="AK29">
        <v>2</v>
      </c>
      <c r="AL29">
        <v>9.52</v>
      </c>
      <c r="AM29">
        <v>6</v>
      </c>
      <c r="AN29">
        <v>1</v>
      </c>
      <c r="AO29">
        <v>16.670000000000002</v>
      </c>
      <c r="AP29">
        <v>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18</v>
      </c>
      <c r="AW29">
        <v>4</v>
      </c>
      <c r="AX29">
        <v>22.22</v>
      </c>
      <c r="AY29">
        <v>4</v>
      </c>
      <c r="AZ29">
        <v>14</v>
      </c>
      <c r="BA29">
        <v>47</v>
      </c>
      <c r="BB29">
        <v>12</v>
      </c>
      <c r="BC29">
        <v>10</v>
      </c>
      <c r="BD29">
        <v>30</v>
      </c>
      <c r="BE29">
        <v>70</v>
      </c>
      <c r="BF29">
        <v>26</v>
      </c>
      <c r="BG29">
        <v>37.14</v>
      </c>
      <c r="BH29">
        <v>3</v>
      </c>
      <c r="BI29">
        <v>3</v>
      </c>
      <c r="BJ29">
        <v>12</v>
      </c>
      <c r="BK29">
        <v>7</v>
      </c>
      <c r="BL29">
        <v>58.33</v>
      </c>
      <c r="BM29">
        <v>66</v>
      </c>
      <c r="BN29">
        <v>48</v>
      </c>
      <c r="BO29">
        <v>72.73</v>
      </c>
      <c r="BP29">
        <v>20</v>
      </c>
      <c r="BQ29">
        <v>9</v>
      </c>
      <c r="BR29">
        <v>45</v>
      </c>
      <c r="BS29">
        <v>7</v>
      </c>
      <c r="BT29">
        <v>2</v>
      </c>
      <c r="BU29">
        <v>28.57</v>
      </c>
      <c r="BV29">
        <v>21</v>
      </c>
      <c r="BW29">
        <v>6</v>
      </c>
      <c r="BX29">
        <v>13</v>
      </c>
      <c r="BY29">
        <v>2</v>
      </c>
      <c r="BZ29">
        <v>0</v>
      </c>
      <c r="CA29">
        <v>196</v>
      </c>
      <c r="CB29">
        <v>153</v>
      </c>
      <c r="CC29">
        <v>78.06</v>
      </c>
      <c r="CD29">
        <v>116</v>
      </c>
      <c r="CE29">
        <v>106</v>
      </c>
      <c r="CF29">
        <v>91.38</v>
      </c>
      <c r="CG29">
        <v>238</v>
      </c>
      <c r="CH29">
        <v>203</v>
      </c>
      <c r="CI29">
        <v>85.29</v>
      </c>
      <c r="CJ29">
        <v>63</v>
      </c>
      <c r="CK29">
        <v>38</v>
      </c>
      <c r="CL29">
        <v>60.32</v>
      </c>
      <c r="CM29">
        <v>82</v>
      </c>
      <c r="CN29">
        <v>56</v>
      </c>
      <c r="CO29">
        <v>68.290000000000006</v>
      </c>
      <c r="CP29">
        <v>121</v>
      </c>
      <c r="CQ29">
        <v>90</v>
      </c>
      <c r="CR29">
        <v>74.38</v>
      </c>
      <c r="CS29">
        <v>1</v>
      </c>
      <c r="CT29">
        <v>0</v>
      </c>
      <c r="CU29">
        <v>0</v>
      </c>
      <c r="CV29">
        <v>25</v>
      </c>
      <c r="CW29">
        <v>22</v>
      </c>
      <c r="CX29">
        <v>88</v>
      </c>
      <c r="CY29">
        <v>5</v>
      </c>
      <c r="CZ29">
        <v>19.239999999999998</v>
      </c>
      <c r="DA29">
        <v>5.34</v>
      </c>
      <c r="DB29">
        <v>10.08</v>
      </c>
      <c r="DC29">
        <v>21.97</v>
      </c>
      <c r="DD29">
        <v>19.52</v>
      </c>
      <c r="DE29">
        <v>6.91</v>
      </c>
    </row>
    <row r="30" spans="1:109" ht="12" customHeight="1" x14ac:dyDescent="0.2">
      <c r="A30" s="2" t="s">
        <v>108</v>
      </c>
      <c r="B30" s="2" t="s">
        <v>109</v>
      </c>
      <c r="C30" s="2" t="s">
        <v>56</v>
      </c>
      <c r="D30" s="2">
        <v>96</v>
      </c>
      <c r="E30" t="s">
        <v>54</v>
      </c>
      <c r="F30" t="s">
        <v>61</v>
      </c>
      <c r="G30">
        <v>4</v>
      </c>
      <c r="H30">
        <v>3.44</v>
      </c>
      <c r="I30">
        <v>22</v>
      </c>
      <c r="J30">
        <v>12</v>
      </c>
      <c r="K30">
        <v>54.55</v>
      </c>
      <c r="L30">
        <v>455</v>
      </c>
      <c r="M30">
        <v>382</v>
      </c>
      <c r="N30">
        <v>83.96</v>
      </c>
      <c r="O30">
        <v>60.77</v>
      </c>
      <c r="P30">
        <v>115</v>
      </c>
      <c r="Q30">
        <v>10</v>
      </c>
      <c r="R30">
        <v>36</v>
      </c>
      <c r="S30">
        <v>69</v>
      </c>
      <c r="T30">
        <v>81</v>
      </c>
      <c r="U30">
        <v>21</v>
      </c>
      <c r="V30">
        <v>40</v>
      </c>
      <c r="W30">
        <v>20</v>
      </c>
      <c r="X30">
        <v>221</v>
      </c>
      <c r="Y30">
        <v>108</v>
      </c>
      <c r="Z30">
        <v>48.87</v>
      </c>
      <c r="AA30">
        <v>7</v>
      </c>
      <c r="AB30">
        <v>2</v>
      </c>
      <c r="AC30">
        <v>28.57</v>
      </c>
      <c r="AD30">
        <v>38</v>
      </c>
      <c r="AE30">
        <v>14</v>
      </c>
      <c r="AF30">
        <v>36.840000000000003</v>
      </c>
      <c r="AG30">
        <v>1</v>
      </c>
      <c r="AH30">
        <v>1</v>
      </c>
      <c r="AI30">
        <v>100</v>
      </c>
      <c r="AJ30">
        <v>27</v>
      </c>
      <c r="AK30">
        <v>7</v>
      </c>
      <c r="AL30">
        <v>25.93</v>
      </c>
      <c r="AM30">
        <v>8</v>
      </c>
      <c r="AN30">
        <v>2</v>
      </c>
      <c r="AO30">
        <v>25</v>
      </c>
      <c r="AP30">
        <v>3</v>
      </c>
      <c r="AQ30">
        <v>2</v>
      </c>
      <c r="AR30">
        <v>66.67</v>
      </c>
      <c r="AS30">
        <v>0</v>
      </c>
      <c r="AT30">
        <v>0</v>
      </c>
      <c r="AU30">
        <v>0</v>
      </c>
      <c r="AV30">
        <v>21</v>
      </c>
      <c r="AW30">
        <v>8</v>
      </c>
      <c r="AX30">
        <v>38.1</v>
      </c>
      <c r="AY30">
        <v>6</v>
      </c>
      <c r="AZ30">
        <v>14</v>
      </c>
      <c r="BA30">
        <v>29</v>
      </c>
      <c r="BB30">
        <v>3</v>
      </c>
      <c r="BC30">
        <v>12</v>
      </c>
      <c r="BD30">
        <v>26</v>
      </c>
      <c r="BE30">
        <v>93</v>
      </c>
      <c r="BF30">
        <v>25</v>
      </c>
      <c r="BG30">
        <v>26.88</v>
      </c>
      <c r="BH30">
        <v>2</v>
      </c>
      <c r="BI30">
        <v>1</v>
      </c>
      <c r="BJ30">
        <v>9</v>
      </c>
      <c r="BK30">
        <v>5</v>
      </c>
      <c r="BL30">
        <v>55.56</v>
      </c>
      <c r="BM30">
        <v>72</v>
      </c>
      <c r="BN30">
        <v>59</v>
      </c>
      <c r="BO30">
        <v>81.94</v>
      </c>
      <c r="BP30">
        <v>27</v>
      </c>
      <c r="BQ30">
        <v>13</v>
      </c>
      <c r="BR30">
        <v>48.15</v>
      </c>
      <c r="BS30">
        <v>2</v>
      </c>
      <c r="BT30">
        <v>1</v>
      </c>
      <c r="BU30">
        <v>50</v>
      </c>
      <c r="BV30">
        <v>38</v>
      </c>
      <c r="BW30">
        <v>14</v>
      </c>
      <c r="BX30">
        <v>5</v>
      </c>
      <c r="BY30">
        <v>1</v>
      </c>
      <c r="BZ30">
        <v>0</v>
      </c>
      <c r="CA30">
        <v>149</v>
      </c>
      <c r="CB30">
        <v>116</v>
      </c>
      <c r="CC30">
        <v>77.849999999999994</v>
      </c>
      <c r="CD30">
        <v>72</v>
      </c>
      <c r="CE30">
        <v>69</v>
      </c>
      <c r="CF30">
        <v>95.83</v>
      </c>
      <c r="CG30">
        <v>186</v>
      </c>
      <c r="CH30">
        <v>160</v>
      </c>
      <c r="CI30">
        <v>86.02</v>
      </c>
      <c r="CJ30">
        <v>31</v>
      </c>
      <c r="CK30">
        <v>18</v>
      </c>
      <c r="CL30">
        <v>58.06</v>
      </c>
      <c r="CM30">
        <v>63</v>
      </c>
      <c r="CN30">
        <v>40</v>
      </c>
      <c r="CO30">
        <v>63.49</v>
      </c>
      <c r="CP30">
        <v>89</v>
      </c>
      <c r="CQ30">
        <v>73</v>
      </c>
      <c r="CR30">
        <v>82.02</v>
      </c>
      <c r="CS30">
        <v>0</v>
      </c>
      <c r="CT30">
        <v>0</v>
      </c>
      <c r="CU30">
        <v>0</v>
      </c>
      <c r="CV30">
        <v>28</v>
      </c>
      <c r="CW30">
        <v>26</v>
      </c>
      <c r="CX30">
        <v>92.86</v>
      </c>
      <c r="CY30">
        <v>4</v>
      </c>
      <c r="CZ30">
        <v>15.47</v>
      </c>
      <c r="DA30">
        <v>3.86</v>
      </c>
      <c r="DB30">
        <v>6.81</v>
      </c>
      <c r="DC30">
        <v>17.690000000000001</v>
      </c>
      <c r="DD30">
        <v>19.010000000000002</v>
      </c>
      <c r="DE30">
        <v>6.68</v>
      </c>
    </row>
    <row r="31" spans="1:109" ht="12" customHeight="1" x14ac:dyDescent="0.2">
      <c r="A31" s="2" t="s">
        <v>108</v>
      </c>
      <c r="B31" s="2" t="s">
        <v>109</v>
      </c>
      <c r="C31" s="2" t="s">
        <v>56</v>
      </c>
      <c r="D31" s="2">
        <v>96</v>
      </c>
      <c r="E31" t="s">
        <v>64</v>
      </c>
      <c r="F31" t="s">
        <v>110</v>
      </c>
      <c r="G31">
        <v>1</v>
      </c>
      <c r="H31">
        <v>0.92</v>
      </c>
      <c r="I31">
        <v>9</v>
      </c>
      <c r="J31">
        <v>5</v>
      </c>
      <c r="K31">
        <v>55.56</v>
      </c>
      <c r="L31">
        <v>285</v>
      </c>
      <c r="M31">
        <v>209</v>
      </c>
      <c r="N31">
        <v>73.33</v>
      </c>
      <c r="O31">
        <v>39.229999999999997</v>
      </c>
      <c r="P31">
        <v>132</v>
      </c>
      <c r="Q31">
        <v>37</v>
      </c>
      <c r="R31">
        <v>60</v>
      </c>
      <c r="S31">
        <v>35</v>
      </c>
      <c r="T31">
        <v>78</v>
      </c>
      <c r="U31">
        <v>41</v>
      </c>
      <c r="V31">
        <v>31</v>
      </c>
      <c r="W31">
        <v>6</v>
      </c>
      <c r="X31">
        <v>221</v>
      </c>
      <c r="Y31">
        <v>109</v>
      </c>
      <c r="Z31">
        <v>49.32</v>
      </c>
      <c r="AA31">
        <v>6</v>
      </c>
      <c r="AB31">
        <v>3</v>
      </c>
      <c r="AC31">
        <v>50</v>
      </c>
      <c r="AD31">
        <v>23</v>
      </c>
      <c r="AE31">
        <v>6</v>
      </c>
      <c r="AF31">
        <v>26.09</v>
      </c>
      <c r="AG31">
        <v>0</v>
      </c>
      <c r="AH31">
        <v>0</v>
      </c>
      <c r="AI31">
        <v>0</v>
      </c>
      <c r="AJ31">
        <v>18</v>
      </c>
      <c r="AK31">
        <v>2</v>
      </c>
      <c r="AL31">
        <v>11.11</v>
      </c>
      <c r="AM31">
        <v>4</v>
      </c>
      <c r="AN31">
        <v>2</v>
      </c>
      <c r="AO31">
        <v>50</v>
      </c>
      <c r="AP31">
        <v>3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</v>
      </c>
      <c r="AW31">
        <v>2</v>
      </c>
      <c r="AX31">
        <v>66.67</v>
      </c>
      <c r="AY31">
        <v>2</v>
      </c>
      <c r="AZ31">
        <v>0</v>
      </c>
      <c r="BA31">
        <v>8</v>
      </c>
      <c r="BB31">
        <v>2</v>
      </c>
      <c r="BC31">
        <v>2</v>
      </c>
      <c r="BD31">
        <v>4</v>
      </c>
      <c r="BE31">
        <v>72</v>
      </c>
      <c r="BF31">
        <v>13</v>
      </c>
      <c r="BG31">
        <v>18.059999999999999</v>
      </c>
      <c r="BH31">
        <v>3</v>
      </c>
      <c r="BI31">
        <v>4</v>
      </c>
      <c r="BJ31">
        <v>22</v>
      </c>
      <c r="BK31">
        <v>13</v>
      </c>
      <c r="BL31">
        <v>59.09</v>
      </c>
      <c r="BM31">
        <v>93</v>
      </c>
      <c r="BN31">
        <v>68</v>
      </c>
      <c r="BO31">
        <v>73.12</v>
      </c>
      <c r="BP31">
        <v>27</v>
      </c>
      <c r="BQ31">
        <v>14</v>
      </c>
      <c r="BR31">
        <v>51.85</v>
      </c>
      <c r="BS31">
        <v>5</v>
      </c>
      <c r="BT31">
        <v>4</v>
      </c>
      <c r="BU31">
        <v>80</v>
      </c>
      <c r="BV31">
        <v>53</v>
      </c>
      <c r="BW31">
        <v>23</v>
      </c>
      <c r="BX31">
        <v>12</v>
      </c>
      <c r="BY31">
        <v>2</v>
      </c>
      <c r="BZ31">
        <v>0</v>
      </c>
      <c r="CA31">
        <v>119</v>
      </c>
      <c r="CB31">
        <v>69</v>
      </c>
      <c r="CC31">
        <v>57.98</v>
      </c>
      <c r="CD31">
        <v>56</v>
      </c>
      <c r="CE31">
        <v>52</v>
      </c>
      <c r="CF31">
        <v>92.86</v>
      </c>
      <c r="CG31">
        <v>75</v>
      </c>
      <c r="CH31">
        <v>62</v>
      </c>
      <c r="CI31">
        <v>82.67</v>
      </c>
      <c r="CJ31">
        <v>35</v>
      </c>
      <c r="CK31">
        <v>19</v>
      </c>
      <c r="CL31">
        <v>54.29</v>
      </c>
      <c r="CM31">
        <v>26</v>
      </c>
      <c r="CN31">
        <v>14</v>
      </c>
      <c r="CO31">
        <v>53.85</v>
      </c>
      <c r="CP31">
        <v>71</v>
      </c>
      <c r="CQ31">
        <v>28</v>
      </c>
      <c r="CR31">
        <v>39.44</v>
      </c>
      <c r="CS31">
        <v>0</v>
      </c>
      <c r="CT31">
        <v>0</v>
      </c>
      <c r="CU31">
        <v>0</v>
      </c>
      <c r="CV31">
        <v>33</v>
      </c>
      <c r="CW31">
        <v>27</v>
      </c>
      <c r="CX31">
        <v>81.819999999999993</v>
      </c>
      <c r="CY31">
        <v>7</v>
      </c>
      <c r="CZ31">
        <v>15.01</v>
      </c>
      <c r="DA31">
        <v>2.48</v>
      </c>
      <c r="DB31">
        <v>12.28</v>
      </c>
      <c r="DC31">
        <v>21.07</v>
      </c>
      <c r="DD31">
        <v>18.89</v>
      </c>
      <c r="DE31">
        <v>11.7</v>
      </c>
    </row>
    <row r="32" spans="1:109" ht="12" customHeight="1" x14ac:dyDescent="0.2">
      <c r="A32" s="2" t="s">
        <v>139</v>
      </c>
      <c r="B32" s="2" t="s">
        <v>138</v>
      </c>
      <c r="C32" s="2" t="s">
        <v>56</v>
      </c>
      <c r="D32" s="2">
        <v>95</v>
      </c>
      <c r="E32" t="s">
        <v>54</v>
      </c>
      <c r="F32" t="s">
        <v>61</v>
      </c>
      <c r="G32">
        <v>4</v>
      </c>
      <c r="H32">
        <v>3.01</v>
      </c>
      <c r="I32">
        <v>19</v>
      </c>
      <c r="J32">
        <v>5</v>
      </c>
      <c r="K32">
        <v>26.32</v>
      </c>
      <c r="L32">
        <v>610</v>
      </c>
      <c r="M32">
        <v>536</v>
      </c>
      <c r="N32">
        <v>87.87</v>
      </c>
      <c r="O32">
        <v>69.12</v>
      </c>
      <c r="P32">
        <v>95</v>
      </c>
      <c r="Q32">
        <v>19</v>
      </c>
      <c r="R32">
        <v>29</v>
      </c>
      <c r="S32">
        <v>47</v>
      </c>
      <c r="T32">
        <v>88</v>
      </c>
      <c r="U32">
        <v>33</v>
      </c>
      <c r="V32">
        <v>36</v>
      </c>
      <c r="W32">
        <v>19</v>
      </c>
      <c r="X32">
        <v>181</v>
      </c>
      <c r="Y32">
        <v>89</v>
      </c>
      <c r="Z32">
        <v>49.17</v>
      </c>
    </row>
    <row r="33" spans="1:26" ht="12" customHeight="1" x14ac:dyDescent="0.2">
      <c r="A33" s="2" t="s">
        <v>139</v>
      </c>
      <c r="B33" s="2" t="s">
        <v>138</v>
      </c>
      <c r="C33" s="2" t="s">
        <v>56</v>
      </c>
      <c r="D33" s="2">
        <v>95</v>
      </c>
      <c r="E33" t="s">
        <v>64</v>
      </c>
      <c r="F33" t="s">
        <v>110</v>
      </c>
      <c r="G33">
        <v>0</v>
      </c>
      <c r="H33">
        <v>0.95</v>
      </c>
      <c r="I33">
        <v>7</v>
      </c>
      <c r="J33">
        <v>2</v>
      </c>
      <c r="K33">
        <v>28.57</v>
      </c>
      <c r="L33">
        <v>236</v>
      </c>
      <c r="M33">
        <v>162</v>
      </c>
      <c r="N33">
        <v>68.64</v>
      </c>
      <c r="O33">
        <v>30.88</v>
      </c>
      <c r="P33">
        <v>90</v>
      </c>
      <c r="Q33">
        <v>24</v>
      </c>
      <c r="R33">
        <v>33</v>
      </c>
      <c r="S33">
        <v>33</v>
      </c>
      <c r="T33">
        <v>59</v>
      </c>
      <c r="U33">
        <v>32</v>
      </c>
      <c r="V33">
        <v>17</v>
      </c>
      <c r="W33">
        <v>10</v>
      </c>
      <c r="X33">
        <v>181</v>
      </c>
      <c r="Y33">
        <v>90</v>
      </c>
      <c r="Z33">
        <v>49.72</v>
      </c>
    </row>
    <row r="34" spans="1:26" ht="12" customHeight="1" x14ac:dyDescent="0.2">
      <c r="A34" s="2" t="s">
        <v>137</v>
      </c>
      <c r="B34" s="2" t="s">
        <v>136</v>
      </c>
      <c r="C34" s="2" t="s">
        <v>56</v>
      </c>
      <c r="D34" s="2">
        <v>102</v>
      </c>
      <c r="E34" t="s">
        <v>54</v>
      </c>
      <c r="F34" t="s">
        <v>61</v>
      </c>
      <c r="G34">
        <v>1</v>
      </c>
      <c r="H34">
        <v>1.51</v>
      </c>
      <c r="I34">
        <v>12</v>
      </c>
      <c r="J34">
        <v>4</v>
      </c>
      <c r="K34">
        <v>33.33</v>
      </c>
      <c r="L34">
        <v>358</v>
      </c>
      <c r="M34">
        <v>297</v>
      </c>
      <c r="N34">
        <v>82.96</v>
      </c>
      <c r="O34">
        <v>46.43</v>
      </c>
      <c r="P34">
        <v>96</v>
      </c>
      <c r="Q34">
        <v>17</v>
      </c>
      <c r="R34">
        <v>41</v>
      </c>
      <c r="S34">
        <v>38</v>
      </c>
      <c r="T34">
        <v>77</v>
      </c>
      <c r="U34">
        <v>33</v>
      </c>
      <c r="V34">
        <v>31</v>
      </c>
      <c r="W34">
        <v>13</v>
      </c>
      <c r="X34">
        <v>212</v>
      </c>
      <c r="Y34">
        <v>99</v>
      </c>
      <c r="Z34">
        <v>46.7</v>
      </c>
    </row>
    <row r="35" spans="1:26" ht="12" customHeight="1" x14ac:dyDescent="0.2">
      <c r="A35" s="2" t="s">
        <v>137</v>
      </c>
      <c r="B35" s="2" t="s">
        <v>136</v>
      </c>
      <c r="C35" s="2" t="s">
        <v>56</v>
      </c>
      <c r="D35" s="2">
        <v>102</v>
      </c>
      <c r="E35" t="s">
        <v>107</v>
      </c>
      <c r="F35" t="s">
        <v>135</v>
      </c>
      <c r="G35">
        <v>3</v>
      </c>
      <c r="H35">
        <v>2.38</v>
      </c>
      <c r="I35">
        <v>12</v>
      </c>
      <c r="J35">
        <v>7</v>
      </c>
      <c r="K35">
        <v>58.33</v>
      </c>
      <c r="L35">
        <v>399</v>
      </c>
      <c r="M35">
        <v>324</v>
      </c>
      <c r="N35">
        <v>81.2</v>
      </c>
      <c r="O35">
        <v>53.57</v>
      </c>
      <c r="P35">
        <v>106</v>
      </c>
      <c r="Q35">
        <v>15</v>
      </c>
      <c r="R35">
        <v>42</v>
      </c>
      <c r="S35">
        <v>49</v>
      </c>
      <c r="T35">
        <v>84</v>
      </c>
      <c r="U35">
        <v>37</v>
      </c>
      <c r="V35">
        <v>36</v>
      </c>
      <c r="W35">
        <v>11</v>
      </c>
      <c r="X35">
        <v>212</v>
      </c>
      <c r="Y35">
        <v>110</v>
      </c>
      <c r="Z35">
        <v>51.89</v>
      </c>
    </row>
    <row r="36" spans="1:26" ht="12" customHeight="1" x14ac:dyDescent="0.2">
      <c r="A36" s="2" t="s">
        <v>134</v>
      </c>
      <c r="B36" s="2" t="s">
        <v>85</v>
      </c>
      <c r="C36" s="2" t="s">
        <v>56</v>
      </c>
      <c r="D36" s="2">
        <v>94</v>
      </c>
      <c r="E36" t="s">
        <v>54</v>
      </c>
      <c r="F36" t="s">
        <v>61</v>
      </c>
      <c r="G36">
        <v>1</v>
      </c>
      <c r="H36">
        <v>0.9</v>
      </c>
      <c r="I36">
        <v>13</v>
      </c>
      <c r="J36">
        <v>4</v>
      </c>
      <c r="K36">
        <v>30.77</v>
      </c>
      <c r="L36">
        <v>317</v>
      </c>
      <c r="M36">
        <v>243</v>
      </c>
      <c r="N36">
        <v>76.66</v>
      </c>
      <c r="O36">
        <v>45.25</v>
      </c>
      <c r="P36">
        <v>124</v>
      </c>
      <c r="Q36">
        <v>28</v>
      </c>
      <c r="R36">
        <v>42</v>
      </c>
      <c r="S36">
        <v>54</v>
      </c>
      <c r="T36">
        <v>88</v>
      </c>
      <c r="U36">
        <v>36</v>
      </c>
      <c r="V36">
        <v>35</v>
      </c>
      <c r="W36">
        <v>17</v>
      </c>
      <c r="X36">
        <v>202</v>
      </c>
      <c r="Y36">
        <v>98</v>
      </c>
      <c r="Z36">
        <v>48.51</v>
      </c>
    </row>
    <row r="37" spans="1:26" ht="12" customHeight="1" x14ac:dyDescent="0.2">
      <c r="A37" s="2" t="s">
        <v>134</v>
      </c>
      <c r="B37" s="2" t="s">
        <v>85</v>
      </c>
      <c r="C37" s="2" t="s">
        <v>56</v>
      </c>
      <c r="D37" s="2">
        <v>94</v>
      </c>
      <c r="E37" t="s">
        <v>87</v>
      </c>
      <c r="F37" t="s">
        <v>114</v>
      </c>
      <c r="G37">
        <v>2</v>
      </c>
      <c r="H37">
        <v>1.41</v>
      </c>
      <c r="I37">
        <v>13</v>
      </c>
      <c r="J37">
        <v>4</v>
      </c>
      <c r="K37">
        <v>30.77</v>
      </c>
      <c r="L37">
        <v>446</v>
      </c>
      <c r="M37">
        <v>355</v>
      </c>
      <c r="N37">
        <v>79.599999999999994</v>
      </c>
      <c r="O37">
        <v>54.75</v>
      </c>
      <c r="P37">
        <v>129</v>
      </c>
      <c r="Q37">
        <v>25</v>
      </c>
      <c r="R37">
        <v>48</v>
      </c>
      <c r="S37">
        <v>56</v>
      </c>
      <c r="T37">
        <v>91</v>
      </c>
      <c r="U37">
        <v>44</v>
      </c>
      <c r="V37">
        <v>34</v>
      </c>
      <c r="W37">
        <v>13</v>
      </c>
      <c r="X37">
        <v>202</v>
      </c>
      <c r="Y37">
        <v>100</v>
      </c>
      <c r="Z37">
        <v>49.5</v>
      </c>
    </row>
    <row r="38" spans="1:26" ht="12" customHeight="1" x14ac:dyDescent="0.2">
      <c r="A38" s="2" t="s">
        <v>133</v>
      </c>
      <c r="B38" s="2" t="s">
        <v>132</v>
      </c>
      <c r="C38" s="2" t="s">
        <v>56</v>
      </c>
      <c r="D38" s="2">
        <v>97</v>
      </c>
      <c r="E38" t="s">
        <v>54</v>
      </c>
      <c r="F38" t="s">
        <v>76</v>
      </c>
      <c r="G38">
        <v>5</v>
      </c>
      <c r="H38">
        <v>2.94</v>
      </c>
      <c r="I38">
        <v>21</v>
      </c>
      <c r="J38">
        <v>11</v>
      </c>
      <c r="K38">
        <v>52.38</v>
      </c>
      <c r="L38">
        <v>592</v>
      </c>
      <c r="M38">
        <v>490</v>
      </c>
      <c r="N38">
        <v>82.77</v>
      </c>
      <c r="O38">
        <v>60.92</v>
      </c>
      <c r="P38">
        <v>127</v>
      </c>
      <c r="Q38">
        <v>15</v>
      </c>
      <c r="R38">
        <v>45</v>
      </c>
      <c r="S38">
        <v>67</v>
      </c>
      <c r="T38">
        <v>90</v>
      </c>
      <c r="U38">
        <v>30</v>
      </c>
      <c r="V38">
        <v>38</v>
      </c>
      <c r="W38">
        <v>22</v>
      </c>
      <c r="X38">
        <v>172</v>
      </c>
      <c r="Y38">
        <v>94</v>
      </c>
      <c r="Z38">
        <v>54.65</v>
      </c>
    </row>
    <row r="39" spans="1:26" ht="12" customHeight="1" x14ac:dyDescent="0.2">
      <c r="A39" s="2" t="s">
        <v>133</v>
      </c>
      <c r="B39" s="2" t="s">
        <v>132</v>
      </c>
      <c r="C39" s="2" t="s">
        <v>56</v>
      </c>
      <c r="D39" s="2">
        <v>97</v>
      </c>
      <c r="E39" t="s">
        <v>68</v>
      </c>
      <c r="F39" t="s">
        <v>131</v>
      </c>
      <c r="G39">
        <v>2</v>
      </c>
      <c r="H39">
        <v>1.26</v>
      </c>
      <c r="I39">
        <v>9</v>
      </c>
      <c r="J39">
        <v>4</v>
      </c>
      <c r="K39">
        <v>44.44</v>
      </c>
      <c r="L39">
        <v>369</v>
      </c>
      <c r="M39">
        <v>289</v>
      </c>
      <c r="N39">
        <v>78.319999999999993</v>
      </c>
      <c r="O39">
        <v>39.08</v>
      </c>
      <c r="P39">
        <v>123</v>
      </c>
      <c r="Q39">
        <v>33</v>
      </c>
      <c r="R39">
        <v>48</v>
      </c>
      <c r="S39">
        <v>42</v>
      </c>
      <c r="T39">
        <v>72</v>
      </c>
      <c r="U39">
        <v>36</v>
      </c>
      <c r="V39">
        <v>29</v>
      </c>
      <c r="W39">
        <v>7</v>
      </c>
      <c r="X39">
        <v>172</v>
      </c>
      <c r="Y39">
        <v>73</v>
      </c>
      <c r="Z39">
        <v>42.44</v>
      </c>
    </row>
    <row r="40" spans="1:26" ht="12" customHeight="1" x14ac:dyDescent="0.2">
      <c r="A40" s="2" t="s">
        <v>130</v>
      </c>
      <c r="B40" s="2" t="s">
        <v>129</v>
      </c>
      <c r="C40" s="2" t="s">
        <v>56</v>
      </c>
      <c r="D40" s="2">
        <v>94</v>
      </c>
      <c r="E40" t="s">
        <v>54</v>
      </c>
      <c r="F40" t="s">
        <v>61</v>
      </c>
      <c r="G40">
        <v>7</v>
      </c>
      <c r="H40">
        <v>4.59</v>
      </c>
      <c r="I40">
        <v>22</v>
      </c>
      <c r="J40">
        <v>13</v>
      </c>
      <c r="K40">
        <v>59.09</v>
      </c>
      <c r="L40">
        <v>643</v>
      </c>
      <c r="M40">
        <v>545</v>
      </c>
      <c r="N40">
        <v>84.76</v>
      </c>
      <c r="O40">
        <v>73.62</v>
      </c>
      <c r="P40">
        <v>129</v>
      </c>
      <c r="Q40">
        <v>14</v>
      </c>
      <c r="R40">
        <v>41</v>
      </c>
      <c r="S40">
        <v>74</v>
      </c>
      <c r="T40">
        <v>103</v>
      </c>
      <c r="U40">
        <v>33</v>
      </c>
      <c r="V40">
        <v>46</v>
      </c>
      <c r="W40">
        <v>24</v>
      </c>
      <c r="X40">
        <v>258</v>
      </c>
      <c r="Y40">
        <v>131</v>
      </c>
      <c r="Z40">
        <v>50.78</v>
      </c>
    </row>
    <row r="41" spans="1:26" ht="12" customHeight="1" x14ac:dyDescent="0.2">
      <c r="A41" s="2" t="s">
        <v>130</v>
      </c>
      <c r="B41" s="2" t="s">
        <v>129</v>
      </c>
      <c r="C41" s="2" t="s">
        <v>56</v>
      </c>
      <c r="D41" s="2">
        <v>94</v>
      </c>
      <c r="E41" t="s">
        <v>128</v>
      </c>
      <c r="F41" t="s">
        <v>127</v>
      </c>
      <c r="G41">
        <v>0</v>
      </c>
      <c r="H41">
        <v>0.59</v>
      </c>
      <c r="I41">
        <v>4</v>
      </c>
      <c r="J41">
        <v>1</v>
      </c>
      <c r="K41">
        <v>25</v>
      </c>
      <c r="L41">
        <v>225</v>
      </c>
      <c r="M41">
        <v>147</v>
      </c>
      <c r="N41">
        <v>65.33</v>
      </c>
      <c r="O41">
        <v>26.38</v>
      </c>
      <c r="P41">
        <v>118</v>
      </c>
      <c r="Q41">
        <v>30</v>
      </c>
      <c r="R41">
        <v>51</v>
      </c>
      <c r="S41">
        <v>37</v>
      </c>
      <c r="T41">
        <v>84</v>
      </c>
      <c r="U41">
        <v>42</v>
      </c>
      <c r="V41">
        <v>29</v>
      </c>
      <c r="W41">
        <v>13</v>
      </c>
      <c r="X41">
        <v>258</v>
      </c>
      <c r="Y41">
        <v>117</v>
      </c>
      <c r="Z41">
        <v>45.35</v>
      </c>
    </row>
    <row r="42" spans="1:26" ht="12" customHeight="1" x14ac:dyDescent="0.2">
      <c r="A42" s="2" t="s">
        <v>125</v>
      </c>
      <c r="B42" s="2" t="s">
        <v>124</v>
      </c>
      <c r="C42" s="2" t="s">
        <v>56</v>
      </c>
      <c r="D42" s="2">
        <v>95</v>
      </c>
      <c r="E42" t="s">
        <v>54</v>
      </c>
      <c r="F42" t="s">
        <v>126</v>
      </c>
      <c r="G42">
        <v>5</v>
      </c>
      <c r="H42">
        <v>2.81</v>
      </c>
      <c r="I42">
        <v>19</v>
      </c>
      <c r="J42">
        <v>15</v>
      </c>
      <c r="K42">
        <v>78.95</v>
      </c>
      <c r="L42">
        <v>565</v>
      </c>
      <c r="M42">
        <v>476</v>
      </c>
      <c r="N42">
        <v>84.25</v>
      </c>
      <c r="O42">
        <v>63.07</v>
      </c>
      <c r="P42">
        <v>128</v>
      </c>
      <c r="Q42">
        <v>9</v>
      </c>
      <c r="R42">
        <v>27</v>
      </c>
      <c r="S42">
        <v>92</v>
      </c>
      <c r="T42">
        <v>97</v>
      </c>
      <c r="U42">
        <v>24</v>
      </c>
      <c r="V42">
        <v>32</v>
      </c>
      <c r="W42">
        <v>41</v>
      </c>
      <c r="X42">
        <v>208</v>
      </c>
      <c r="Y42">
        <v>104</v>
      </c>
      <c r="Z42">
        <v>50</v>
      </c>
    </row>
    <row r="43" spans="1:26" ht="12" customHeight="1" x14ac:dyDescent="0.2">
      <c r="A43" s="2" t="s">
        <v>125</v>
      </c>
      <c r="B43" s="2" t="s">
        <v>124</v>
      </c>
      <c r="C43" s="2" t="s">
        <v>56</v>
      </c>
      <c r="D43" s="2">
        <v>95</v>
      </c>
      <c r="E43" t="s">
        <v>79</v>
      </c>
      <c r="F43" t="s">
        <v>123</v>
      </c>
      <c r="G43">
        <v>1</v>
      </c>
      <c r="H43">
        <v>0.28000000000000003</v>
      </c>
      <c r="I43">
        <v>3</v>
      </c>
      <c r="J43">
        <v>2</v>
      </c>
      <c r="K43">
        <v>66.67</v>
      </c>
      <c r="L43">
        <v>325</v>
      </c>
      <c r="M43">
        <v>251</v>
      </c>
      <c r="N43">
        <v>77.23</v>
      </c>
      <c r="O43">
        <v>36.93</v>
      </c>
      <c r="P43">
        <v>120</v>
      </c>
      <c r="Q43">
        <v>57</v>
      </c>
      <c r="R43">
        <v>32</v>
      </c>
      <c r="S43">
        <v>31</v>
      </c>
      <c r="T43">
        <v>78</v>
      </c>
      <c r="U43">
        <v>54</v>
      </c>
      <c r="V43">
        <v>18</v>
      </c>
      <c r="W43">
        <v>6</v>
      </c>
      <c r="X43">
        <v>208</v>
      </c>
      <c r="Y43">
        <v>100</v>
      </c>
      <c r="Z43">
        <v>48.08</v>
      </c>
    </row>
    <row r="44" spans="1:26" ht="12" customHeight="1" x14ac:dyDescent="0.2">
      <c r="A44" s="2" t="s">
        <v>122</v>
      </c>
      <c r="B44" s="2" t="s">
        <v>121</v>
      </c>
      <c r="C44" s="2" t="s">
        <v>56</v>
      </c>
      <c r="D44" s="2">
        <v>99</v>
      </c>
      <c r="E44" t="s">
        <v>54</v>
      </c>
      <c r="F44" t="s">
        <v>76</v>
      </c>
      <c r="G44">
        <v>0</v>
      </c>
      <c r="H44">
        <v>2.57</v>
      </c>
      <c r="I44">
        <v>17</v>
      </c>
      <c r="J44">
        <v>9</v>
      </c>
      <c r="K44">
        <v>52.94</v>
      </c>
      <c r="L44">
        <v>535</v>
      </c>
      <c r="M44">
        <v>424</v>
      </c>
      <c r="N44">
        <v>79.25</v>
      </c>
      <c r="O44">
        <v>64.319999999999993</v>
      </c>
      <c r="P44">
        <v>139</v>
      </c>
      <c r="Q44">
        <v>16</v>
      </c>
      <c r="R44">
        <v>39</v>
      </c>
      <c r="S44">
        <v>84</v>
      </c>
      <c r="T44">
        <v>90</v>
      </c>
      <c r="U44">
        <v>33</v>
      </c>
      <c r="V44">
        <v>42</v>
      </c>
      <c r="W44">
        <v>15</v>
      </c>
      <c r="X44">
        <v>218</v>
      </c>
      <c r="Y44">
        <v>108</v>
      </c>
      <c r="Z44">
        <v>49.54</v>
      </c>
    </row>
    <row r="45" spans="1:26" ht="12" customHeight="1" x14ac:dyDescent="0.2">
      <c r="A45" s="2" t="s">
        <v>122</v>
      </c>
      <c r="B45" s="2" t="s">
        <v>121</v>
      </c>
      <c r="C45" s="2" t="s">
        <v>56</v>
      </c>
      <c r="D45" s="2">
        <v>99</v>
      </c>
      <c r="E45" t="s">
        <v>60</v>
      </c>
      <c r="F45" t="s">
        <v>99</v>
      </c>
      <c r="G45">
        <v>1</v>
      </c>
      <c r="H45">
        <v>0.92</v>
      </c>
      <c r="I45">
        <v>6</v>
      </c>
      <c r="J45">
        <v>4</v>
      </c>
      <c r="K45">
        <v>66.67</v>
      </c>
      <c r="L45">
        <v>257</v>
      </c>
      <c r="M45">
        <v>166</v>
      </c>
      <c r="N45">
        <v>64.59</v>
      </c>
      <c r="O45">
        <v>35.68</v>
      </c>
      <c r="P45">
        <v>135</v>
      </c>
      <c r="Q45">
        <v>35</v>
      </c>
      <c r="R45">
        <v>55</v>
      </c>
      <c r="S45">
        <v>45</v>
      </c>
      <c r="T45">
        <v>86</v>
      </c>
      <c r="U45">
        <v>51</v>
      </c>
      <c r="V45">
        <v>29</v>
      </c>
      <c r="W45">
        <v>6</v>
      </c>
      <c r="X45">
        <v>218</v>
      </c>
      <c r="Y45">
        <v>97</v>
      </c>
      <c r="Z45">
        <v>44.5</v>
      </c>
    </row>
    <row r="46" spans="1:26" ht="12" customHeight="1" x14ac:dyDescent="0.2">
      <c r="A46" s="2" t="s">
        <v>120</v>
      </c>
      <c r="B46" s="2" t="s">
        <v>119</v>
      </c>
      <c r="C46" s="2" t="s">
        <v>56</v>
      </c>
      <c r="D46" s="2">
        <v>97</v>
      </c>
      <c r="E46" t="s">
        <v>54</v>
      </c>
      <c r="F46" t="s">
        <v>61</v>
      </c>
      <c r="G46">
        <v>1</v>
      </c>
      <c r="H46">
        <v>1.94</v>
      </c>
      <c r="I46">
        <v>13</v>
      </c>
      <c r="J46">
        <v>7</v>
      </c>
      <c r="K46">
        <v>53.85</v>
      </c>
      <c r="L46">
        <v>273</v>
      </c>
      <c r="M46">
        <v>198</v>
      </c>
      <c r="N46">
        <v>72.53</v>
      </c>
      <c r="O46">
        <v>36.159999999999997</v>
      </c>
      <c r="P46">
        <v>121</v>
      </c>
      <c r="Q46">
        <v>29</v>
      </c>
      <c r="R46">
        <v>49</v>
      </c>
      <c r="S46">
        <v>43</v>
      </c>
      <c r="T46">
        <v>75</v>
      </c>
      <c r="U46">
        <v>35</v>
      </c>
      <c r="V46">
        <v>28</v>
      </c>
      <c r="W46">
        <v>12</v>
      </c>
      <c r="X46">
        <v>206</v>
      </c>
      <c r="Y46">
        <v>91</v>
      </c>
      <c r="Z46">
        <v>44.17</v>
      </c>
    </row>
    <row r="47" spans="1:26" ht="12" customHeight="1" x14ac:dyDescent="0.2">
      <c r="A47" s="2" t="s">
        <v>120</v>
      </c>
      <c r="B47" s="2" t="s">
        <v>119</v>
      </c>
      <c r="C47" s="2" t="s">
        <v>56</v>
      </c>
      <c r="D47" s="2">
        <v>97</v>
      </c>
      <c r="E47" t="s">
        <v>75</v>
      </c>
      <c r="F47" t="s">
        <v>61</v>
      </c>
      <c r="G47">
        <v>3</v>
      </c>
      <c r="H47">
        <v>2.82</v>
      </c>
      <c r="I47">
        <v>18</v>
      </c>
      <c r="J47">
        <v>8</v>
      </c>
      <c r="K47">
        <v>44.44</v>
      </c>
      <c r="L47">
        <v>563</v>
      </c>
      <c r="M47">
        <v>475</v>
      </c>
      <c r="N47">
        <v>84.37</v>
      </c>
      <c r="O47">
        <v>63.84</v>
      </c>
      <c r="P47">
        <v>115</v>
      </c>
      <c r="Q47">
        <v>14</v>
      </c>
      <c r="R47">
        <v>52</v>
      </c>
      <c r="S47">
        <v>49</v>
      </c>
      <c r="T47">
        <v>88</v>
      </c>
      <c r="U47">
        <v>28</v>
      </c>
      <c r="V47">
        <v>44</v>
      </c>
      <c r="W47">
        <v>16</v>
      </c>
      <c r="X47">
        <v>206</v>
      </c>
      <c r="Y47">
        <v>107</v>
      </c>
      <c r="Z47">
        <v>51.94</v>
      </c>
    </row>
    <row r="48" spans="1:26" ht="12" customHeight="1" x14ac:dyDescent="0.2">
      <c r="A48" s="2" t="s">
        <v>118</v>
      </c>
      <c r="B48" s="2" t="s">
        <v>117</v>
      </c>
      <c r="C48" s="2" t="s">
        <v>56</v>
      </c>
      <c r="D48" s="2">
        <v>93</v>
      </c>
      <c r="E48" t="s">
        <v>54</v>
      </c>
      <c r="F48" t="s">
        <v>61</v>
      </c>
      <c r="G48">
        <v>3</v>
      </c>
      <c r="H48">
        <v>2.14</v>
      </c>
      <c r="I48">
        <v>12</v>
      </c>
      <c r="J48">
        <v>8</v>
      </c>
      <c r="K48">
        <v>66.67</v>
      </c>
      <c r="L48">
        <v>519</v>
      </c>
      <c r="M48">
        <v>422</v>
      </c>
      <c r="N48">
        <v>81.31</v>
      </c>
      <c r="O48">
        <v>52.87</v>
      </c>
      <c r="P48">
        <v>146</v>
      </c>
      <c r="Q48">
        <v>28</v>
      </c>
      <c r="R48">
        <v>57</v>
      </c>
      <c r="S48">
        <v>61</v>
      </c>
      <c r="T48">
        <v>101</v>
      </c>
      <c r="U48">
        <v>44</v>
      </c>
      <c r="V48">
        <v>45</v>
      </c>
      <c r="W48">
        <v>12</v>
      </c>
      <c r="X48">
        <v>275</v>
      </c>
      <c r="Y48">
        <v>100</v>
      </c>
      <c r="Z48">
        <v>36.36</v>
      </c>
    </row>
    <row r="49" spans="1:26" ht="12" customHeight="1" x14ac:dyDescent="0.2">
      <c r="A49" s="2" t="s">
        <v>118</v>
      </c>
      <c r="B49" s="2" t="s">
        <v>117</v>
      </c>
      <c r="C49" s="2" t="s">
        <v>56</v>
      </c>
      <c r="D49" s="2">
        <v>93</v>
      </c>
      <c r="E49" t="s">
        <v>83</v>
      </c>
      <c r="F49" t="s">
        <v>76</v>
      </c>
      <c r="G49">
        <v>0</v>
      </c>
      <c r="H49">
        <v>0.95</v>
      </c>
      <c r="I49">
        <v>9</v>
      </c>
      <c r="J49">
        <v>2</v>
      </c>
      <c r="K49">
        <v>22.22</v>
      </c>
      <c r="L49">
        <v>401</v>
      </c>
      <c r="M49">
        <v>286</v>
      </c>
      <c r="N49">
        <v>71.319999999999993</v>
      </c>
      <c r="O49">
        <v>47.13</v>
      </c>
      <c r="P49">
        <v>160</v>
      </c>
      <c r="Q49">
        <v>28</v>
      </c>
      <c r="R49">
        <v>55</v>
      </c>
      <c r="S49">
        <v>77</v>
      </c>
      <c r="T49">
        <v>112</v>
      </c>
      <c r="U49">
        <v>41</v>
      </c>
      <c r="V49">
        <v>53</v>
      </c>
      <c r="W49">
        <v>18</v>
      </c>
      <c r="X49">
        <v>275</v>
      </c>
      <c r="Y49">
        <v>163</v>
      </c>
      <c r="Z49">
        <v>59.27</v>
      </c>
    </row>
    <row r="50" spans="1:26" ht="12" customHeight="1" x14ac:dyDescent="0.2">
      <c r="A50" s="2" t="s">
        <v>116</v>
      </c>
      <c r="B50" s="2" t="s">
        <v>115</v>
      </c>
      <c r="C50" s="2" t="s">
        <v>56</v>
      </c>
      <c r="D50" s="2">
        <v>96</v>
      </c>
      <c r="E50" t="s">
        <v>54</v>
      </c>
      <c r="F50" t="s">
        <v>61</v>
      </c>
      <c r="G50">
        <v>3</v>
      </c>
      <c r="H50">
        <v>1.67</v>
      </c>
      <c r="I50">
        <v>16</v>
      </c>
      <c r="J50">
        <v>9</v>
      </c>
      <c r="K50">
        <v>56.25</v>
      </c>
      <c r="L50">
        <v>523</v>
      </c>
      <c r="M50">
        <v>432</v>
      </c>
      <c r="N50">
        <v>82.6</v>
      </c>
      <c r="O50">
        <v>53.04</v>
      </c>
      <c r="P50">
        <v>111</v>
      </c>
      <c r="Q50">
        <v>22</v>
      </c>
      <c r="R50">
        <v>40</v>
      </c>
      <c r="S50">
        <v>49</v>
      </c>
      <c r="T50">
        <v>84</v>
      </c>
      <c r="U50">
        <v>42</v>
      </c>
      <c r="V50">
        <v>29</v>
      </c>
      <c r="W50">
        <v>13</v>
      </c>
      <c r="X50">
        <v>245</v>
      </c>
      <c r="Y50">
        <v>108</v>
      </c>
      <c r="Z50">
        <v>44.08</v>
      </c>
    </row>
    <row r="51" spans="1:26" ht="12" customHeight="1" x14ac:dyDescent="0.2">
      <c r="A51" s="2" t="s">
        <v>116</v>
      </c>
      <c r="B51" s="2" t="s">
        <v>115</v>
      </c>
      <c r="C51" s="2" t="s">
        <v>56</v>
      </c>
      <c r="D51" s="2">
        <v>96</v>
      </c>
      <c r="E51" t="s">
        <v>64</v>
      </c>
      <c r="F51" t="s">
        <v>114</v>
      </c>
      <c r="G51">
        <v>0</v>
      </c>
      <c r="H51">
        <v>0.41</v>
      </c>
      <c r="I51">
        <v>8</v>
      </c>
      <c r="J51">
        <v>0</v>
      </c>
      <c r="K51">
        <v>0</v>
      </c>
      <c r="L51">
        <v>385</v>
      </c>
      <c r="M51">
        <v>298</v>
      </c>
      <c r="N51">
        <v>77.400000000000006</v>
      </c>
      <c r="O51">
        <v>46.96</v>
      </c>
      <c r="P51">
        <v>105</v>
      </c>
      <c r="Q51">
        <v>16</v>
      </c>
      <c r="R51">
        <v>34</v>
      </c>
      <c r="S51">
        <v>55</v>
      </c>
      <c r="T51">
        <v>80</v>
      </c>
      <c r="U51">
        <v>39</v>
      </c>
      <c r="V51">
        <v>28</v>
      </c>
      <c r="W51">
        <v>13</v>
      </c>
      <c r="X51">
        <v>245</v>
      </c>
      <c r="Y51">
        <v>125</v>
      </c>
      <c r="Z51">
        <v>51.02</v>
      </c>
    </row>
    <row r="52" spans="1:26" ht="12" customHeight="1" x14ac:dyDescent="0.2">
      <c r="A52" s="2" t="s">
        <v>112</v>
      </c>
      <c r="B52" s="2" t="s">
        <v>111</v>
      </c>
      <c r="C52" s="2" t="s">
        <v>56</v>
      </c>
      <c r="D52" s="2">
        <v>95</v>
      </c>
      <c r="E52" t="s">
        <v>54</v>
      </c>
      <c r="F52" t="s">
        <v>113</v>
      </c>
      <c r="G52">
        <v>1</v>
      </c>
      <c r="H52">
        <v>2.86</v>
      </c>
      <c r="I52">
        <v>16</v>
      </c>
      <c r="J52">
        <v>3</v>
      </c>
      <c r="K52">
        <v>18.75</v>
      </c>
      <c r="L52">
        <v>595</v>
      </c>
      <c r="M52">
        <v>496</v>
      </c>
      <c r="N52">
        <v>83.36</v>
      </c>
      <c r="O52">
        <v>61.3</v>
      </c>
      <c r="P52">
        <v>133</v>
      </c>
      <c r="Q52">
        <v>30</v>
      </c>
      <c r="R52">
        <v>42</v>
      </c>
      <c r="S52">
        <v>61</v>
      </c>
      <c r="T52">
        <v>106</v>
      </c>
      <c r="U52">
        <v>41</v>
      </c>
      <c r="V52">
        <v>39</v>
      </c>
      <c r="W52">
        <v>26</v>
      </c>
      <c r="X52">
        <v>220</v>
      </c>
      <c r="Y52">
        <v>128</v>
      </c>
      <c r="Z52">
        <v>58.18</v>
      </c>
    </row>
    <row r="53" spans="1:26" ht="12" customHeight="1" x14ac:dyDescent="0.2">
      <c r="A53" s="2" t="s">
        <v>112</v>
      </c>
      <c r="B53" s="2" t="s">
        <v>111</v>
      </c>
      <c r="C53" s="2" t="s">
        <v>56</v>
      </c>
      <c r="D53" s="2">
        <v>95</v>
      </c>
      <c r="E53" t="s">
        <v>90</v>
      </c>
      <c r="F53" t="s">
        <v>76</v>
      </c>
      <c r="G53">
        <v>0</v>
      </c>
      <c r="H53">
        <v>1</v>
      </c>
      <c r="I53">
        <v>9</v>
      </c>
      <c r="J53">
        <v>5</v>
      </c>
      <c r="K53">
        <v>55.56</v>
      </c>
      <c r="L53">
        <v>352</v>
      </c>
      <c r="M53">
        <v>249</v>
      </c>
      <c r="N53">
        <v>70.739999999999995</v>
      </c>
      <c r="O53">
        <v>38.700000000000003</v>
      </c>
      <c r="P53">
        <v>148</v>
      </c>
      <c r="Q53">
        <v>35</v>
      </c>
      <c r="R53">
        <v>41</v>
      </c>
      <c r="S53">
        <v>72</v>
      </c>
      <c r="T53">
        <v>95</v>
      </c>
      <c r="U53">
        <v>46</v>
      </c>
      <c r="V53">
        <v>37</v>
      </c>
      <c r="W53">
        <v>12</v>
      </c>
      <c r="X53">
        <v>220</v>
      </c>
      <c r="Y53">
        <v>86</v>
      </c>
      <c r="Z53">
        <v>39.090000000000003</v>
      </c>
    </row>
  </sheetData>
  <mergeCells count="127">
    <mergeCell ref="A50:A51"/>
    <mergeCell ref="B50:B51"/>
    <mergeCell ref="C50:C51"/>
    <mergeCell ref="D50:D51"/>
    <mergeCell ref="A52:A53"/>
    <mergeCell ref="B52:B53"/>
    <mergeCell ref="C52:C53"/>
    <mergeCell ref="D52:D53"/>
    <mergeCell ref="A46:A47"/>
    <mergeCell ref="B46:B47"/>
    <mergeCell ref="C46:C47"/>
    <mergeCell ref="D46:D47"/>
    <mergeCell ref="A48:A49"/>
    <mergeCell ref="B48:B49"/>
    <mergeCell ref="C48:C49"/>
    <mergeCell ref="D48:D49"/>
    <mergeCell ref="A42:A43"/>
    <mergeCell ref="B42:B43"/>
    <mergeCell ref="C42:C43"/>
    <mergeCell ref="D42:D43"/>
    <mergeCell ref="A44:A45"/>
    <mergeCell ref="B44:B45"/>
    <mergeCell ref="C44:C45"/>
    <mergeCell ref="D44:D45"/>
    <mergeCell ref="A38:A39"/>
    <mergeCell ref="B38:B39"/>
    <mergeCell ref="C38:C39"/>
    <mergeCell ref="D38:D39"/>
    <mergeCell ref="A40:A41"/>
    <mergeCell ref="B40:B41"/>
    <mergeCell ref="C40:C41"/>
    <mergeCell ref="D40:D41"/>
    <mergeCell ref="A34:A35"/>
    <mergeCell ref="B34:B35"/>
    <mergeCell ref="C34:C35"/>
    <mergeCell ref="D34:D35"/>
    <mergeCell ref="A36:A37"/>
    <mergeCell ref="B36:B37"/>
    <mergeCell ref="C36:C37"/>
    <mergeCell ref="D36:D37"/>
    <mergeCell ref="A30:A31"/>
    <mergeCell ref="B30:B31"/>
    <mergeCell ref="C30:C31"/>
    <mergeCell ref="D30:D31"/>
    <mergeCell ref="A32:A33"/>
    <mergeCell ref="B32:B33"/>
    <mergeCell ref="C32:C33"/>
    <mergeCell ref="D32:D33"/>
    <mergeCell ref="A26:A27"/>
    <mergeCell ref="B26:B27"/>
    <mergeCell ref="C26:C27"/>
    <mergeCell ref="D26:D27"/>
    <mergeCell ref="A28:A29"/>
    <mergeCell ref="B28:B29"/>
    <mergeCell ref="C28:C29"/>
    <mergeCell ref="D28:D29"/>
    <mergeCell ref="A22:A23"/>
    <mergeCell ref="B22:B23"/>
    <mergeCell ref="C22:C23"/>
    <mergeCell ref="D22:D23"/>
    <mergeCell ref="A24:A25"/>
    <mergeCell ref="B24:B25"/>
    <mergeCell ref="C24:C25"/>
    <mergeCell ref="D24:D25"/>
    <mergeCell ref="A18:A19"/>
    <mergeCell ref="B18:B19"/>
    <mergeCell ref="C18:C19"/>
    <mergeCell ref="D18:D19"/>
    <mergeCell ref="A20:A21"/>
    <mergeCell ref="B20:B21"/>
    <mergeCell ref="C20:C21"/>
    <mergeCell ref="D20:D21"/>
    <mergeCell ref="A14:A15"/>
    <mergeCell ref="B14:B15"/>
    <mergeCell ref="C14:C15"/>
    <mergeCell ref="D14:D15"/>
    <mergeCell ref="A16:A17"/>
    <mergeCell ref="B16:B17"/>
    <mergeCell ref="C16:C17"/>
    <mergeCell ref="D16:D17"/>
    <mergeCell ref="A10:A11"/>
    <mergeCell ref="B10:B11"/>
    <mergeCell ref="C10:C11"/>
    <mergeCell ref="D10:D11"/>
    <mergeCell ref="A12:A13"/>
    <mergeCell ref="B12:B13"/>
    <mergeCell ref="C12:C13"/>
    <mergeCell ref="D12:D13"/>
    <mergeCell ref="A6:A7"/>
    <mergeCell ref="B6:B7"/>
    <mergeCell ref="C6:C7"/>
    <mergeCell ref="D6:D7"/>
    <mergeCell ref="A8:A9"/>
    <mergeCell ref="B8:B9"/>
    <mergeCell ref="C8:C9"/>
    <mergeCell ref="D8:D9"/>
    <mergeCell ref="A4:A5"/>
    <mergeCell ref="B4:B5"/>
    <mergeCell ref="C4:C5"/>
    <mergeCell ref="D4:D5"/>
    <mergeCell ref="CS1:CU1"/>
    <mergeCell ref="CV1:CX1"/>
    <mergeCell ref="CD1:CF1"/>
    <mergeCell ref="CG1:CI1"/>
    <mergeCell ref="CJ1:CL1"/>
    <mergeCell ref="CM1:CO1"/>
    <mergeCell ref="CP1:CR1"/>
    <mergeCell ref="BJ1:BL1"/>
    <mergeCell ref="BM1:BO1"/>
    <mergeCell ref="BP1:BR1"/>
    <mergeCell ref="BS1:BU1"/>
    <mergeCell ref="CA1:CC1"/>
    <mergeCell ref="AP1:AR1"/>
    <mergeCell ref="AS1:AU1"/>
    <mergeCell ref="AV1:AX1"/>
    <mergeCell ref="BA1:BC1"/>
    <mergeCell ref="BE1:BG1"/>
    <mergeCell ref="AA1:AC1"/>
    <mergeCell ref="AD1:AF1"/>
    <mergeCell ref="AG1:AI1"/>
    <mergeCell ref="AJ1:AL1"/>
    <mergeCell ref="AM1:AO1"/>
    <mergeCell ref="I1:K1"/>
    <mergeCell ref="L1:N1"/>
    <mergeCell ref="P1:S1"/>
    <mergeCell ref="T1:W1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AFIQ AKMAL BIN ABDUL JALIL</cp:lastModifiedBy>
  <dcterms:modified xsi:type="dcterms:W3CDTF">2026-02-17T04:51:03Z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2026-02-17T03:03:34Z</dcterms:created>
  <cp:revision>0</cp:revision>
</cp:coreProperties>
</file>